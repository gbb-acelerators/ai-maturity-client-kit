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swer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imensions" sheetId="4" state="visible" r:id="rId4"/>
    <sheet xmlns:r="http://schemas.openxmlformats.org/officeDocument/2006/relationships" name="Over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F6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Maturity Assessment v2: auditable scoring workbook</t>
        </is>
      </c>
    </row>
    <row r="2">
      <c r="A2" t="inlineStr">
        <is>
          <t>Framework 2.0.1 · generated 2026-09-29</t>
        </is>
      </c>
    </row>
    <row r="3">
      <c r="A3" t="inlineStr"/>
    </row>
    <row r="4">
      <c r="A4" t="inlineStr">
        <is>
          <t>Answers: 0 to 4 = L0 to L4; NA = not applicable (excluded); blank = not answered (excluded).</t>
        </is>
      </c>
    </row>
    <row r="5">
      <c r="A5" t="inlineStr">
        <is>
          <t>Question score = AVERAGE of the respondent values.</t>
        </is>
      </c>
    </row>
    <row r="6">
      <c r="A6" t="inlineStr">
        <is>
          <t>Dimension score = AVERAGE of its question scores; blank when every question is blank.</t>
        </is>
      </c>
    </row>
    <row r="7">
      <c r="A7" t="inlineStr">
        <is>
          <t>Overall = SUMPRODUCT(weight, score) / sum of the weights of the dimensions that have a score.</t>
        </is>
      </c>
    </row>
    <row r="8">
      <c r="A8" t="inlineStr">
        <is>
          <t>Gap = target (default 3.0) minus score, never below 0. Priority score = weight × gap.</t>
        </is>
      </c>
    </row>
    <row r="9">
      <c r="A9" t="inlineStr">
        <is>
          <t>Bands: L0 [0.0, 0.8), L1 [0.8, 1.6), L2 [1.6, 2.4), L3 [2.4, 3.2), L4 [3.2, 4.0]</t>
        </is>
      </c>
    </row>
    <row r="10">
      <c r="A10" t="inlineStr">
        <is>
          <t>The Engine column holds the value from output/scores.json; the formula next to it must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Question</t>
        </is>
      </c>
      <c r="B1" s="2" t="inlineStr">
        <is>
          <t>Dimension</t>
        </is>
      </c>
      <c r="C1" s="2" t="inlineStr">
        <is>
          <t>Title</t>
        </is>
      </c>
      <c r="D1" s="2" t="inlineStr">
        <is>
          <t>R01</t>
        </is>
      </c>
      <c r="E1" s="2" t="inlineStr">
        <is>
          <t>R02</t>
        </is>
      </c>
      <c r="F1" s="2" t="inlineStr">
        <is>
          <t>R03</t>
        </is>
      </c>
      <c r="G1" s="2" t="inlineStr">
        <is>
          <t>R04</t>
        </is>
      </c>
      <c r="H1" s="2" t="inlineStr">
        <is>
          <t>R05</t>
        </is>
      </c>
      <c r="I1" s="2" t="inlineStr">
        <is>
          <t>R06</t>
        </is>
      </c>
      <c r="J1" s="2" t="inlineStr">
        <is>
          <t>R07</t>
        </is>
      </c>
      <c r="K1" s="2" t="inlineStr">
        <is>
          <t>R08</t>
        </is>
      </c>
      <c r="L1" s="2" t="inlineStr">
        <is>
          <t>R09</t>
        </is>
      </c>
      <c r="M1" s="2" t="inlineStr">
        <is>
          <t>R10</t>
        </is>
      </c>
      <c r="N1" s="2" t="inlineStr">
        <is>
          <t>R11</t>
        </is>
      </c>
      <c r="O1" s="2" t="inlineStr">
        <is>
          <t>R12</t>
        </is>
      </c>
      <c r="P1" s="2" t="inlineStr">
        <is>
          <t>R13</t>
        </is>
      </c>
      <c r="Q1" s="2" t="inlineStr">
        <is>
          <t>R14</t>
        </is>
      </c>
    </row>
    <row r="2">
      <c r="A2" t="inlineStr">
        <is>
          <t>D1-Q1</t>
        </is>
      </c>
      <c r="B2" t="inlineStr">
        <is>
          <t>D1</t>
        </is>
      </c>
      <c r="C2" t="inlineStr">
        <is>
          <t>Estratégia de IA para engenharia de software</t>
        </is>
      </c>
      <c r="D2" t="n">
        <v>3</v>
      </c>
      <c r="E2" t="n">
        <v>3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2</v>
      </c>
      <c r="L2" t="inlineStr">
        <is>
          <t>NA</t>
        </is>
      </c>
      <c r="M2" t="n">
        <v>2</v>
      </c>
      <c r="N2" t="n">
        <v>2</v>
      </c>
      <c r="O2" t="n">
        <v>3</v>
      </c>
      <c r="P2" t="n">
        <v>3</v>
      </c>
      <c r="Q2" t="n">
        <v>2</v>
      </c>
    </row>
    <row r="3">
      <c r="A3" t="inlineStr">
        <is>
          <t>D1-Q2</t>
        </is>
      </c>
      <c r="B3" t="inlineStr">
        <is>
          <t>D1</t>
        </is>
      </c>
      <c r="C3" t="inlineStr">
        <is>
          <t>Política de uso aceitável</t>
        </is>
      </c>
      <c r="D3" t="n">
        <v>3</v>
      </c>
      <c r="E3" t="n">
        <v>4</v>
      </c>
      <c r="F3" t="n">
        <v>3</v>
      </c>
      <c r="G3" t="n">
        <v>3</v>
      </c>
      <c r="H3" t="n">
        <v>3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</row>
    <row r="4">
      <c r="A4" t="inlineStr">
        <is>
          <t>D1-Q3</t>
        </is>
      </c>
      <c r="B4" t="inlineStr">
        <is>
          <t>D1</t>
        </is>
      </c>
      <c r="C4" t="inlineStr">
        <is>
          <t>Ferramentas e modelos aprovados</t>
        </is>
      </c>
      <c r="D4" t="n">
        <v>4</v>
      </c>
      <c r="E4" t="inlineStr">
        <is>
          <t>NA</t>
        </is>
      </c>
      <c r="F4" t="n">
        <v>3</v>
      </c>
      <c r="G4" t="n">
        <v>3</v>
      </c>
      <c r="H4" t="n">
        <v>2</v>
      </c>
      <c r="I4" t="n">
        <v>2</v>
      </c>
      <c r="J4" t="n">
        <v>3</v>
      </c>
      <c r="K4" t="n">
        <v>2</v>
      </c>
      <c r="L4" t="inlineStr">
        <is>
          <t>NA</t>
        </is>
      </c>
      <c r="M4" t="n">
        <v>3</v>
      </c>
      <c r="N4" t="n">
        <v>3</v>
      </c>
      <c r="O4" t="n">
        <v>3</v>
      </c>
      <c r="P4" t="n">
        <v>2</v>
      </c>
      <c r="Q4" t="n">
        <v>3</v>
      </c>
    </row>
    <row r="5">
      <c r="A5" t="inlineStr">
        <is>
          <t>D1-Q4</t>
        </is>
      </c>
      <c r="B5" t="inlineStr">
        <is>
          <t>D1</t>
        </is>
      </c>
      <c r="C5" t="inlineStr">
        <is>
          <t>Proteção de dados, IP e residência</t>
        </is>
      </c>
      <c r="D5" t="n">
        <v>4</v>
      </c>
      <c r="E5" t="n">
        <v>4</v>
      </c>
      <c r="F5" t="n">
        <v>4</v>
      </c>
      <c r="G5" t="n">
        <v>2</v>
      </c>
      <c r="H5" t="n">
        <v>4</v>
      </c>
      <c r="I5" t="inlineStr">
        <is>
          <t>NA</t>
        </is>
      </c>
      <c r="J5" t="n">
        <v>2</v>
      </c>
      <c r="K5" t="n">
        <v>3</v>
      </c>
      <c r="L5" t="n">
        <v>2</v>
      </c>
      <c r="M5" t="n">
        <v>2</v>
      </c>
      <c r="N5" t="n">
        <v>4</v>
      </c>
      <c r="O5" t="n">
        <v>2</v>
      </c>
      <c r="P5" t="n">
        <v>3</v>
      </c>
      <c r="Q5" t="n">
        <v>4</v>
      </c>
    </row>
    <row r="6">
      <c r="A6" t="inlineStr">
        <is>
          <t>D1-Q5</t>
        </is>
      </c>
      <c r="B6" t="inlineStr">
        <is>
          <t>D1</t>
        </is>
      </c>
      <c r="C6" t="inlineStr">
        <is>
          <t>Níveis de autonomia para trabalho com IA</t>
        </is>
      </c>
      <c r="D6" t="n">
        <v>4</v>
      </c>
      <c r="E6" t="n">
        <v>3</v>
      </c>
      <c r="F6" t="n">
        <v>3</v>
      </c>
      <c r="G6" t="n">
        <v>2</v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inlineStr">
        <is>
          <t>NA</t>
        </is>
      </c>
      <c r="N6" t="n">
        <v>3</v>
      </c>
      <c r="O6" t="n">
        <v>3</v>
      </c>
      <c r="P6" t="n">
        <v>2</v>
      </c>
      <c r="Q6" t="n">
        <v>4</v>
      </c>
    </row>
    <row r="7">
      <c r="A7" t="inlineStr">
        <is>
          <t>D1-Q6</t>
        </is>
      </c>
      <c r="B7" t="inlineStr">
        <is>
          <t>D1</t>
        </is>
      </c>
      <c r="C7" t="inlineStr">
        <is>
          <t>IA responsável e framework de risco</t>
        </is>
      </c>
      <c r="D7" t="n">
        <v>3</v>
      </c>
      <c r="E7" t="n">
        <v>4</v>
      </c>
      <c r="F7" t="n">
        <v>3</v>
      </c>
      <c r="G7" t="n">
        <v>3</v>
      </c>
      <c r="H7" t="n">
        <v>3</v>
      </c>
      <c r="I7" t="n">
        <v>2</v>
      </c>
      <c r="J7" t="n">
        <v>2</v>
      </c>
      <c r="K7" t="n">
        <v>2</v>
      </c>
      <c r="L7" t="n">
        <v>2</v>
      </c>
      <c r="M7" t="n">
        <v>3</v>
      </c>
      <c r="N7" t="n">
        <v>3</v>
      </c>
      <c r="O7" t="n">
        <v>2</v>
      </c>
      <c r="P7" t="n">
        <v>2</v>
      </c>
      <c r="Q7" t="n">
        <v>4</v>
      </c>
    </row>
    <row r="8">
      <c r="A8" t="inlineStr">
        <is>
          <t>D1-Q7</t>
        </is>
      </c>
      <c r="B8" t="inlineStr">
        <is>
          <t>D1</t>
        </is>
      </c>
      <c r="C8" t="inlineStr">
        <is>
          <t>Registro e identidade de agentes</t>
        </is>
      </c>
      <c r="D8" t="n">
        <v>4</v>
      </c>
      <c r="E8" t="n">
        <v>4</v>
      </c>
      <c r="F8" t="n">
        <v>3</v>
      </c>
      <c r="G8" t="n">
        <v>3</v>
      </c>
      <c r="H8" t="n">
        <v>2</v>
      </c>
      <c r="I8" t="n">
        <v>3</v>
      </c>
      <c r="J8" t="n">
        <v>3</v>
      </c>
      <c r="K8" t="n">
        <v>3</v>
      </c>
      <c r="L8" t="n">
        <v>2</v>
      </c>
      <c r="M8" t="n">
        <v>2</v>
      </c>
      <c r="N8" t="n">
        <v>2</v>
      </c>
      <c r="O8" t="n">
        <v>3</v>
      </c>
      <c r="P8" t="n">
        <v>2</v>
      </c>
      <c r="Q8" t="n">
        <v>3</v>
      </c>
    </row>
    <row r="9">
      <c r="A9" t="inlineStr">
        <is>
          <t>D2-Q1</t>
        </is>
      </c>
      <c r="B9" t="inlineStr">
        <is>
          <t>D2</t>
        </is>
      </c>
      <c r="C9" t="inlineStr">
        <is>
          <t>Treinamento estruturado de IA</t>
        </is>
      </c>
      <c r="D9" t="n">
        <v>2</v>
      </c>
      <c r="E9" t="n">
        <v>3</v>
      </c>
      <c r="F9" t="inlineStr">
        <is>
          <t>NA</t>
        </is>
      </c>
      <c r="G9" t="n">
        <v>2</v>
      </c>
      <c r="H9" t="n">
        <v>2</v>
      </c>
      <c r="I9" t="n">
        <v>2</v>
      </c>
      <c r="J9" t="n">
        <v>1</v>
      </c>
      <c r="K9" t="n">
        <v>2</v>
      </c>
      <c r="L9" t="n">
        <v>1</v>
      </c>
      <c r="M9" t="n">
        <v>2</v>
      </c>
      <c r="N9" t="n">
        <v>3</v>
      </c>
      <c r="O9" t="n">
        <v>3</v>
      </c>
      <c r="P9" t="n">
        <v>2</v>
      </c>
      <c r="Q9" t="n">
        <v>3</v>
      </c>
    </row>
    <row r="10">
      <c r="A10" t="inlineStr">
        <is>
          <t>D2-Q2</t>
        </is>
      </c>
      <c r="B10" t="inlineStr">
        <is>
          <t>D2</t>
        </is>
      </c>
      <c r="C10" t="inlineStr">
        <is>
          <t>Aprendizagem entre pares e champions</t>
        </is>
      </c>
      <c r="D10" t="n">
        <v>4</v>
      </c>
      <c r="E10" t="n">
        <v>2</v>
      </c>
      <c r="F10" t="n">
        <v>2</v>
      </c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3</v>
      </c>
    </row>
    <row r="11">
      <c r="A11" t="inlineStr">
        <is>
          <t>D2-Q3</t>
        </is>
      </c>
      <c r="B11" t="inlineStr">
        <is>
          <t>D2</t>
        </is>
      </c>
      <c r="C11" t="inlineStr">
        <is>
          <t>Suporte à experimentação</t>
        </is>
      </c>
      <c r="D11" t="n">
        <v>3</v>
      </c>
      <c r="E11" t="n">
        <v>4</v>
      </c>
      <c r="F11" t="n">
        <v>3</v>
      </c>
      <c r="G11" t="n">
        <v>2</v>
      </c>
      <c r="H11" t="n">
        <v>2</v>
      </c>
      <c r="I11" t="n">
        <v>2</v>
      </c>
      <c r="J11" t="n">
        <v>3</v>
      </c>
      <c r="K11" t="n">
        <v>2</v>
      </c>
      <c r="L11" t="n">
        <v>1</v>
      </c>
      <c r="M11" t="n">
        <v>3</v>
      </c>
      <c r="N11" t="n">
        <v>3</v>
      </c>
      <c r="O11" t="n">
        <v>3</v>
      </c>
      <c r="P11" t="n">
        <v>2</v>
      </c>
      <c r="Q11" t="n">
        <v>3</v>
      </c>
    </row>
    <row r="12">
      <c r="A12" t="inlineStr">
        <is>
          <t>D2-Q4</t>
        </is>
      </c>
      <c r="B12" t="inlineStr">
        <is>
          <t>D2</t>
        </is>
      </c>
      <c r="C12" t="inlineStr">
        <is>
          <t>Habilidades de engenharia de contexto</t>
        </is>
      </c>
      <c r="D12" t="n">
        <v>3</v>
      </c>
      <c r="E12" t="n">
        <v>2</v>
      </c>
      <c r="F12" t="n">
        <v>3</v>
      </c>
      <c r="G12" t="n">
        <v>2</v>
      </c>
      <c r="H12" t="n">
        <v>3</v>
      </c>
      <c r="I12" t="n">
        <v>2</v>
      </c>
      <c r="J12" t="n">
        <v>2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</row>
    <row r="13">
      <c r="A13" t="inlineStr">
        <is>
          <t>D2-Q5</t>
        </is>
      </c>
      <c r="B13" t="inlineStr">
        <is>
          <t>D2</t>
        </is>
      </c>
      <c r="C13" t="inlineStr">
        <is>
          <t>Papéis e trajetórias de carreira</t>
        </is>
      </c>
      <c r="D13" t="n">
        <v>3</v>
      </c>
      <c r="E13" t="n">
        <v>3</v>
      </c>
      <c r="F13" t="n">
        <v>2</v>
      </c>
      <c r="G13" t="n">
        <v>3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3</v>
      </c>
      <c r="O13" t="n">
        <v>2</v>
      </c>
      <c r="P13" t="n">
        <v>3</v>
      </c>
      <c r="Q13" t="n">
        <v>3</v>
      </c>
    </row>
    <row r="14">
      <c r="A14" t="inlineStr">
        <is>
          <t>D2-Q6</t>
        </is>
      </c>
      <c r="B14" t="inlineStr">
        <is>
          <t>D2</t>
        </is>
      </c>
      <c r="C14" t="inlineStr">
        <is>
          <t>Onboarding assistido por IA</t>
        </is>
      </c>
      <c r="D14" t="n">
        <v>2</v>
      </c>
      <c r="E14" t="n">
        <v>2</v>
      </c>
      <c r="F14" t="n">
        <v>3</v>
      </c>
      <c r="G14" t="n">
        <v>3</v>
      </c>
      <c r="H14" t="n">
        <v>2</v>
      </c>
      <c r="I14" t="n">
        <v>1</v>
      </c>
      <c r="J14" t="n">
        <v>2</v>
      </c>
      <c r="K14" t="n">
        <v>2</v>
      </c>
      <c r="L14" t="n">
        <v>3</v>
      </c>
      <c r="M14" t="n">
        <v>2</v>
      </c>
      <c r="N14" t="n">
        <v>2</v>
      </c>
      <c r="O14" t="inlineStr">
        <is>
          <t>NA</t>
        </is>
      </c>
      <c r="P14" t="n">
        <v>1</v>
      </c>
      <c r="Q14" t="n">
        <v>3</v>
      </c>
    </row>
    <row r="15">
      <c r="A15" t="inlineStr">
        <is>
          <t>D3-Q1</t>
        </is>
      </c>
      <c r="B15" t="inlineStr">
        <is>
          <t>D3</t>
        </is>
      </c>
      <c r="C15" t="inlineStr">
        <is>
          <t>IA no refinamento de backlog</t>
        </is>
      </c>
      <c r="D15" t="n">
        <v>2</v>
      </c>
      <c r="E15" t="inlineStr">
        <is>
          <t>NA</t>
        </is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1</v>
      </c>
      <c r="Q15" t="n">
        <v>3</v>
      </c>
    </row>
    <row r="16">
      <c r="A16" t="inlineStr">
        <is>
          <t>D3-Q2</t>
        </is>
      </c>
      <c r="B16" t="inlineStr">
        <is>
          <t>D3</t>
        </is>
      </c>
      <c r="C16" t="inlineStr">
        <is>
          <t>Especificação antes da implementação</t>
        </is>
      </c>
      <c r="D16" t="n">
        <v>3</v>
      </c>
      <c r="E16" t="n">
        <v>3</v>
      </c>
      <c r="F16" t="n">
        <v>2</v>
      </c>
      <c r="G16" t="n">
        <v>3</v>
      </c>
      <c r="H16" t="n">
        <v>2</v>
      </c>
      <c r="I16" t="n">
        <v>2</v>
      </c>
      <c r="J16" t="inlineStr">
        <is>
          <t>NA</t>
        </is>
      </c>
      <c r="K16" t="n">
        <v>2</v>
      </c>
      <c r="L16" t="n">
        <v>1</v>
      </c>
      <c r="M16" t="n">
        <v>1</v>
      </c>
      <c r="N16" t="n">
        <v>2</v>
      </c>
      <c r="O16" t="n">
        <v>1</v>
      </c>
      <c r="P16" t="n">
        <v>2</v>
      </c>
      <c r="Q16" t="inlineStr">
        <is>
          <t>NA</t>
        </is>
      </c>
    </row>
    <row r="17">
      <c r="A17" t="inlineStr">
        <is>
          <t>D3-Q3</t>
        </is>
      </c>
      <c r="B17" t="inlineStr">
        <is>
          <t>D3</t>
        </is>
      </c>
      <c r="C17" t="inlineStr">
        <is>
          <t>Escopo de tarefas para agentes</t>
        </is>
      </c>
      <c r="D17" t="n">
        <v>3</v>
      </c>
      <c r="E17" t="n">
        <v>3</v>
      </c>
      <c r="F17" t="n">
        <v>2</v>
      </c>
      <c r="G17" t="n">
        <v>3</v>
      </c>
      <c r="H17" t="n">
        <v>2</v>
      </c>
      <c r="I17" t="n">
        <v>3</v>
      </c>
      <c r="J17" t="inlineStr">
        <is>
          <t>NA</t>
        </is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1</v>
      </c>
      <c r="Q17" t="n">
        <v>2</v>
      </c>
    </row>
    <row r="18">
      <c r="A18" t="inlineStr">
        <is>
          <t>D3-Q4</t>
        </is>
      </c>
      <c r="B18" t="inlineStr">
        <is>
          <t>D3</t>
        </is>
      </c>
      <c r="C18" t="inlineStr">
        <is>
          <t>Decisões de arquitetura e design</t>
        </is>
      </c>
      <c r="D18" t="n">
        <v>3</v>
      </c>
      <c r="E18" t="n">
        <v>2</v>
      </c>
      <c r="F18" t="n">
        <v>2</v>
      </c>
      <c r="G18" t="n">
        <v>2</v>
      </c>
      <c r="H18" t="inlineStr">
        <is>
          <t>NA</t>
        </is>
      </c>
      <c r="I18" t="n">
        <v>3</v>
      </c>
      <c r="J18" t="n">
        <v>2</v>
      </c>
      <c r="K18" t="n">
        <v>1</v>
      </c>
      <c r="L18" t="n">
        <v>2</v>
      </c>
      <c r="M18" t="n">
        <v>2</v>
      </c>
      <c r="N18" t="n">
        <v>2</v>
      </c>
      <c r="O18" t="n">
        <v>1</v>
      </c>
      <c r="P18" t="n">
        <v>3</v>
      </c>
      <c r="Q18" t="n">
        <v>3</v>
      </c>
    </row>
    <row r="19">
      <c r="A19" t="inlineStr">
        <is>
          <t>D3-Q5</t>
        </is>
      </c>
      <c r="B19" t="inlineStr">
        <is>
          <t>D3</t>
        </is>
      </c>
      <c r="C19" t="inlineStr">
        <is>
          <t>Foco centrado no usuário</t>
        </is>
      </c>
      <c r="D19" t="n">
        <v>3</v>
      </c>
      <c r="E19" t="n">
        <v>3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1</v>
      </c>
      <c r="L19" t="n">
        <v>3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</row>
    <row r="20">
      <c r="A20" t="inlineStr">
        <is>
          <t>D3-Q6</t>
        </is>
      </c>
      <c r="B20" t="inlineStr">
        <is>
          <t>D3</t>
        </is>
      </c>
      <c r="C20" t="inlineStr">
        <is>
          <t>Modernização assistida por IA</t>
        </is>
      </c>
      <c r="D20" t="n">
        <v>2</v>
      </c>
      <c r="E20" t="n">
        <v>3</v>
      </c>
      <c r="F20" t="n">
        <v>3</v>
      </c>
      <c r="G20" t="n">
        <v>3</v>
      </c>
      <c r="H20" t="n">
        <v>2</v>
      </c>
      <c r="I20" t="n">
        <v>1</v>
      </c>
      <c r="J20" t="n">
        <v>3</v>
      </c>
      <c r="K20" t="n">
        <v>2</v>
      </c>
      <c r="L20" t="n">
        <v>2</v>
      </c>
      <c r="M20" t="n">
        <v>1</v>
      </c>
      <c r="N20" t="n">
        <v>2</v>
      </c>
      <c r="O20" t="n">
        <v>2</v>
      </c>
      <c r="P20" t="n">
        <v>1</v>
      </c>
      <c r="Q20" t="n">
        <v>3</v>
      </c>
    </row>
    <row r="21">
      <c r="A21" t="inlineStr">
        <is>
          <t>D4-Q1</t>
        </is>
      </c>
      <c r="B21" t="inlineStr">
        <is>
          <t>D4</t>
        </is>
      </c>
      <c r="C21" t="inlineStr">
        <is>
          <t>Profundidade do uso de IA entre superfícies</t>
        </is>
      </c>
      <c r="D21" t="n">
        <v>2</v>
      </c>
      <c r="E21" t="n">
        <v>4</v>
      </c>
      <c r="F21" t="n">
        <v>3</v>
      </c>
      <c r="G21" t="n">
        <v>3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2</v>
      </c>
      <c r="N21" t="n">
        <v>3</v>
      </c>
      <c r="O21" t="n">
        <v>2</v>
      </c>
      <c r="P21" t="inlineStr">
        <is>
          <t>NA</t>
        </is>
      </c>
      <c r="Q21" t="n">
        <v>3</v>
      </c>
    </row>
    <row r="22">
      <c r="A22" t="inlineStr">
        <is>
          <t>D4-Q2</t>
        </is>
      </c>
      <c r="B22" t="inlineStr">
        <is>
          <t>D4</t>
        </is>
      </c>
      <c r="C22" t="inlineStr">
        <is>
          <t>Modo agente para trabalho multi-file</t>
        </is>
      </c>
      <c r="D22" t="n">
        <v>2</v>
      </c>
      <c r="E22" t="n">
        <v>4</v>
      </c>
      <c r="F22" t="n">
        <v>4</v>
      </c>
      <c r="G22" t="n">
        <v>4</v>
      </c>
      <c r="H22" t="n">
        <v>2</v>
      </c>
      <c r="I22" t="n">
        <v>2</v>
      </c>
      <c r="J22" t="n">
        <v>2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2</v>
      </c>
      <c r="Q22" t="n">
        <v>2</v>
      </c>
    </row>
    <row r="23">
      <c r="A23" t="inlineStr">
        <is>
          <t>D4-Q3</t>
        </is>
      </c>
      <c r="B23" t="inlineStr">
        <is>
          <t>D4</t>
        </is>
      </c>
      <c r="C23" t="inlineStr">
        <is>
          <t>Delegação a coding agents</t>
        </is>
      </c>
      <c r="D23" t="n">
        <v>3</v>
      </c>
      <c r="E23" t="n">
        <v>2</v>
      </c>
      <c r="F23" t="n">
        <v>3</v>
      </c>
      <c r="G23" t="inlineStr">
        <is>
          <t>NA</t>
        </is>
      </c>
      <c r="H23" t="n">
        <v>4</v>
      </c>
      <c r="I23" t="inlineStr">
        <is>
          <t>NA</t>
        </is>
      </c>
      <c r="J23" t="n">
        <v>3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3</v>
      </c>
      <c r="Q23" t="n">
        <v>3</v>
      </c>
    </row>
    <row r="24">
      <c r="A24" t="inlineStr">
        <is>
          <t>D4-Q4</t>
        </is>
      </c>
      <c r="B24" t="inlineStr">
        <is>
          <t>D4</t>
        </is>
      </c>
      <c r="C24" t="inlineStr">
        <is>
          <t>Instruções de repositório</t>
        </is>
      </c>
      <c r="D24" t="n">
        <v>3</v>
      </c>
      <c r="E24" t="n">
        <v>2</v>
      </c>
      <c r="F24" t="inlineStr">
        <is>
          <t>NA</t>
        </is>
      </c>
      <c r="G24" t="n">
        <v>3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3</v>
      </c>
      <c r="O24" t="n">
        <v>2</v>
      </c>
      <c r="P24" t="inlineStr">
        <is>
          <t>NA</t>
        </is>
      </c>
      <c r="Q24" t="n">
        <v>4</v>
      </c>
    </row>
    <row r="25">
      <c r="A25" t="inlineStr">
        <is>
          <t>D4-Q5</t>
        </is>
      </c>
      <c r="B25" t="inlineStr">
        <is>
          <t>D4</t>
        </is>
      </c>
      <c r="C25" t="inlineStr">
        <is>
          <t>Prompts, agentes e skills reutilizáveis</t>
        </is>
      </c>
      <c r="D25" t="n">
        <v>4</v>
      </c>
      <c r="E25" t="n">
        <v>3</v>
      </c>
      <c r="F25" t="n">
        <v>3</v>
      </c>
      <c r="G25" t="n">
        <v>2</v>
      </c>
      <c r="H25" t="n">
        <v>3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</row>
    <row r="26">
      <c r="A26" t="inlineStr">
        <is>
          <t>D4-Q6</t>
        </is>
      </c>
      <c r="B26" t="inlineStr">
        <is>
          <t>D4</t>
        </is>
      </c>
      <c r="C26" t="inlineStr">
        <is>
          <t>Governança de MCP servers</t>
        </is>
      </c>
      <c r="D26" t="n">
        <v>3</v>
      </c>
      <c r="E26" t="n">
        <v>3</v>
      </c>
      <c r="F26" t="n">
        <v>4</v>
      </c>
      <c r="G26" t="n">
        <v>3</v>
      </c>
      <c r="H26" t="n">
        <v>4</v>
      </c>
      <c r="I26" t="n">
        <v>3</v>
      </c>
      <c r="J26" t="n">
        <v>3</v>
      </c>
      <c r="K26" t="n">
        <v>3</v>
      </c>
      <c r="L26" t="n">
        <v>2</v>
      </c>
      <c r="M26" t="n">
        <v>2</v>
      </c>
      <c r="N26" t="n">
        <v>3</v>
      </c>
      <c r="O26" t="n">
        <v>2</v>
      </c>
      <c r="P26" t="n">
        <v>1</v>
      </c>
      <c r="Q26" t="n">
        <v>3</v>
      </c>
    </row>
    <row r="27">
      <c r="A27" t="inlineStr">
        <is>
          <t>D4-Q7</t>
        </is>
      </c>
      <c r="B27" t="inlineStr">
        <is>
          <t>D4</t>
        </is>
      </c>
      <c r="C27" t="inlineStr">
        <is>
          <t>Acesso de IA ao conhecimento interno</t>
        </is>
      </c>
      <c r="D27" t="n">
        <v>4</v>
      </c>
      <c r="E27" t="n">
        <v>3</v>
      </c>
      <c r="F27" t="n">
        <v>4</v>
      </c>
      <c r="G27" t="n">
        <v>3</v>
      </c>
      <c r="H27" t="inlineStr">
        <is>
          <t>NA</t>
        </is>
      </c>
      <c r="I27" t="n">
        <v>3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inlineStr">
        <is>
          <t>NA</t>
        </is>
      </c>
      <c r="Q27" t="n">
        <v>4</v>
      </c>
    </row>
    <row r="28">
      <c r="A28" t="inlineStr">
        <is>
          <t>D4-Q8</t>
        </is>
      </c>
      <c r="B28" t="inlineStr">
        <is>
          <t>D4</t>
        </is>
      </c>
      <c r="C28" t="inlineStr">
        <is>
          <t>Seleção e roteamento de modelos</t>
        </is>
      </c>
      <c r="D28" t="n">
        <v>4</v>
      </c>
      <c r="E28" t="inlineStr">
        <is>
          <t>NA</t>
        </is>
      </c>
      <c r="F28" t="n">
        <v>3</v>
      </c>
      <c r="G28" t="n">
        <v>3</v>
      </c>
      <c r="H28" t="n">
        <v>2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3</v>
      </c>
      <c r="O28" t="n">
        <v>2</v>
      </c>
      <c r="P28" t="n">
        <v>3</v>
      </c>
      <c r="Q28" t="n">
        <v>2</v>
      </c>
    </row>
    <row r="29">
      <c r="A29" t="inlineStr">
        <is>
          <t>D5-Q1</t>
        </is>
      </c>
      <c r="B29" t="inlineStr">
        <is>
          <t>D5</t>
        </is>
      </c>
      <c r="C29" t="inlineStr">
        <is>
          <t>AI-assisted code review</t>
        </is>
      </c>
      <c r="D29" t="n">
        <v>2</v>
      </c>
      <c r="E29" t="n">
        <v>3</v>
      </c>
      <c r="F29" t="n">
        <v>2</v>
      </c>
      <c r="G29" t="n">
        <v>2</v>
      </c>
      <c r="H29" t="n">
        <v>3</v>
      </c>
      <c r="I29" t="n">
        <v>1</v>
      </c>
      <c r="J29" t="n">
        <v>3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1</v>
      </c>
      <c r="Q29" t="n">
        <v>3</v>
      </c>
    </row>
    <row r="30">
      <c r="A30" t="inlineStr">
        <is>
          <t>D5-Q2</t>
        </is>
      </c>
      <c r="B30" t="inlineStr">
        <is>
          <t>D5</t>
        </is>
      </c>
      <c r="C30" t="inlineStr">
        <is>
          <t>Human-in-the-loop para mudanças de agentes</t>
        </is>
      </c>
      <c r="D30" t="n">
        <v>3</v>
      </c>
      <c r="E30" t="n">
        <v>2</v>
      </c>
      <c r="F30" t="n">
        <v>3</v>
      </c>
      <c r="G30" t="n">
        <v>2</v>
      </c>
      <c r="H30" t="n">
        <v>3</v>
      </c>
      <c r="I30" t="n">
        <v>2</v>
      </c>
      <c r="J30" t="n">
        <v>3</v>
      </c>
      <c r="K30" t="n">
        <v>1</v>
      </c>
      <c r="L30" t="n">
        <v>1</v>
      </c>
      <c r="M30" t="n">
        <v>2</v>
      </c>
      <c r="N30" t="n">
        <v>2</v>
      </c>
      <c r="O30" t="n">
        <v>2</v>
      </c>
      <c r="P30" t="n">
        <v>1</v>
      </c>
      <c r="Q30" t="n">
        <v>2</v>
      </c>
    </row>
    <row r="31">
      <c r="A31" t="inlineStr">
        <is>
          <t>D5-Q3</t>
        </is>
      </c>
      <c r="B31" t="inlineStr">
        <is>
          <t>D5</t>
        </is>
      </c>
      <c r="C31" t="inlineStr">
        <is>
          <t>Mesmos quality gates para code de IA e humano</t>
        </is>
      </c>
      <c r="D31" t="n">
        <v>3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3</v>
      </c>
      <c r="Q31" t="inlineStr">
        <is>
          <t>NA</t>
        </is>
      </c>
    </row>
    <row r="32">
      <c r="A32" t="inlineStr">
        <is>
          <t>D5-Q4</t>
        </is>
      </c>
      <c r="B32" t="inlineStr">
        <is>
          <t>D5</t>
        </is>
      </c>
      <c r="C32" t="inlineStr">
        <is>
          <t>Lotes pequenos</t>
        </is>
      </c>
      <c r="D32" t="n">
        <v>3</v>
      </c>
      <c r="E32" t="n">
        <v>3</v>
      </c>
      <c r="F32" t="n">
        <v>3</v>
      </c>
      <c r="G32" t="n">
        <v>2</v>
      </c>
      <c r="H32" t="n">
        <v>2</v>
      </c>
      <c r="I32" t="n">
        <v>3</v>
      </c>
      <c r="J32" t="n">
        <v>1</v>
      </c>
      <c r="K32" t="n">
        <v>2</v>
      </c>
      <c r="L32" t="inlineStr">
        <is>
          <t>NA</t>
        </is>
      </c>
      <c r="M32" t="n">
        <v>1</v>
      </c>
      <c r="N32" t="inlineStr">
        <is>
          <t>NA</t>
        </is>
      </c>
      <c r="O32" t="n">
        <v>3</v>
      </c>
      <c r="P32" t="n">
        <v>1</v>
      </c>
      <c r="Q32" t="n">
        <v>2</v>
      </c>
    </row>
    <row r="33">
      <c r="A33" t="inlineStr">
        <is>
          <t>D5-Q5</t>
        </is>
      </c>
      <c r="B33" t="inlineStr">
        <is>
          <t>D5</t>
        </is>
      </c>
      <c r="C33" t="inlineStr">
        <is>
          <t>Testes assistidos por IA</t>
        </is>
      </c>
      <c r="D33" t="n">
        <v>3</v>
      </c>
      <c r="E33" t="n">
        <v>3</v>
      </c>
      <c r="F33" t="n">
        <v>2</v>
      </c>
      <c r="G33" t="n">
        <v>2</v>
      </c>
      <c r="H33" t="n">
        <v>3</v>
      </c>
      <c r="I33" t="inlineStr">
        <is>
          <t>NA</t>
        </is>
      </c>
      <c r="J33" t="n">
        <v>3</v>
      </c>
      <c r="K33" t="n">
        <v>3</v>
      </c>
      <c r="L33" t="n">
        <v>2</v>
      </c>
      <c r="M33" t="n">
        <v>2</v>
      </c>
      <c r="N33" t="n">
        <v>1</v>
      </c>
      <c r="O33" t="n">
        <v>2</v>
      </c>
      <c r="P33" t="n">
        <v>2</v>
      </c>
      <c r="Q33" t="n">
        <v>2</v>
      </c>
    </row>
    <row r="34">
      <c r="A34" t="inlineStr">
        <is>
          <t>D5-Q6</t>
        </is>
      </c>
      <c r="B34" t="inlineStr">
        <is>
          <t>D5</t>
        </is>
      </c>
      <c r="C34" t="inlineStr">
        <is>
          <t>Cultura de verificação e confiança calibrada</t>
        </is>
      </c>
      <c r="D34" t="n">
        <v>3</v>
      </c>
      <c r="E34" t="inlineStr">
        <is>
          <t>NA</t>
        </is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3</v>
      </c>
      <c r="P34" t="n">
        <v>1</v>
      </c>
      <c r="Q34" t="n">
        <v>2</v>
      </c>
    </row>
    <row r="35">
      <c r="A35" t="inlineStr">
        <is>
          <t>D5-Q7</t>
        </is>
      </c>
      <c r="B35" t="inlineStr">
        <is>
          <t>D5</t>
        </is>
      </c>
      <c r="C35" t="inlineStr">
        <is>
          <t>Saúde do code gerado por IA</t>
        </is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1</v>
      </c>
      <c r="M35" t="n">
        <v>1</v>
      </c>
      <c r="N35" t="n">
        <v>2</v>
      </c>
      <c r="O35" t="n">
        <v>3</v>
      </c>
      <c r="P35" t="n">
        <v>1</v>
      </c>
      <c r="Q35" t="n">
        <v>3</v>
      </c>
    </row>
    <row r="36">
      <c r="A36" t="inlineStr">
        <is>
          <t>D6-Q1</t>
        </is>
      </c>
      <c r="B36" t="inlineStr">
        <is>
          <t>D6</t>
        </is>
      </c>
      <c r="C36" t="inlineStr">
        <is>
          <t>Scanning de base em todo repositório</t>
        </is>
      </c>
      <c r="D36" t="n">
        <v>3</v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n">
        <v>3</v>
      </c>
      <c r="I36" t="inlineStr">
        <is>
          <t>NA</t>
        </is>
      </c>
      <c r="J36" t="n">
        <v>1</v>
      </c>
      <c r="K36" t="n">
        <v>1</v>
      </c>
      <c r="L36" t="inlineStr">
        <is>
          <t>NA</t>
        </is>
      </c>
      <c r="M36" t="n">
        <v>2</v>
      </c>
      <c r="N36" t="inlineStr">
        <is>
          <t>NA</t>
        </is>
      </c>
      <c r="O36" t="n">
        <v>2</v>
      </c>
      <c r="P36" t="n">
        <v>2</v>
      </c>
      <c r="Q36" t="inlineStr">
        <is>
          <t>NA</t>
        </is>
      </c>
    </row>
    <row r="37">
      <c r="A37" t="inlineStr">
        <is>
          <t>D6-Q2</t>
        </is>
      </c>
      <c r="B37" t="inlineStr">
        <is>
          <t>D6</t>
        </is>
      </c>
      <c r="C37" t="inlineStr">
        <is>
          <t>Remediação assistida por IA</t>
        </is>
      </c>
      <c r="D37" t="n">
        <v>3</v>
      </c>
      <c r="E37" t="n">
        <v>2</v>
      </c>
      <c r="F37" t="n">
        <v>2</v>
      </c>
      <c r="G37" t="n">
        <v>3</v>
      </c>
      <c r="H37" t="inlineStr">
        <is>
          <t>NA</t>
        </is>
      </c>
      <c r="I37" t="inlineStr">
        <is>
          <t>NA</t>
        </is>
      </c>
      <c r="J37" t="n">
        <v>1</v>
      </c>
      <c r="K37" t="n">
        <v>2</v>
      </c>
      <c r="L37" t="n">
        <v>3</v>
      </c>
      <c r="M37" t="inlineStr">
        <is>
          <t>NA</t>
        </is>
      </c>
      <c r="N37" t="n">
        <v>1</v>
      </c>
      <c r="O37" t="n">
        <v>2</v>
      </c>
      <c r="P37" t="n">
        <v>1</v>
      </c>
      <c r="Q37" t="n">
        <v>3</v>
      </c>
    </row>
    <row r="38">
      <c r="A38" t="inlineStr">
        <is>
          <t>D6-Q3</t>
        </is>
      </c>
      <c r="B38" t="inlineStr">
        <is>
          <t>D6</t>
        </is>
      </c>
      <c r="C38" t="inlineStr">
        <is>
          <t>Defesas contra prompt injection para agentes</t>
        </is>
      </c>
      <c r="D38" t="n">
        <v>2</v>
      </c>
      <c r="E38" t="n">
        <v>3</v>
      </c>
      <c r="F38" t="n">
        <v>2</v>
      </c>
      <c r="G38" t="inlineStr">
        <is>
          <t>NA</t>
        </is>
      </c>
      <c r="H38" t="n">
        <v>2</v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2</v>
      </c>
      <c r="M38" t="n">
        <v>2</v>
      </c>
      <c r="N38" t="n">
        <v>3</v>
      </c>
      <c r="O38" t="n">
        <v>2</v>
      </c>
      <c r="P38" t="inlineStr">
        <is>
          <t>NA</t>
        </is>
      </c>
      <c r="Q38" t="inlineStr">
        <is>
          <t>NA</t>
        </is>
      </c>
    </row>
    <row r="39">
      <c r="A39" t="inlineStr">
        <is>
          <t>D6-Q4</t>
        </is>
      </c>
      <c r="B39" t="inlineStr">
        <is>
          <t>D6</t>
        </is>
      </c>
      <c r="C39" t="inlineStr">
        <is>
          <t>Least privilege para agentes</t>
        </is>
      </c>
      <c r="D39" t="n">
        <v>2</v>
      </c>
      <c r="E39" t="inlineStr">
        <is>
          <t>NA</t>
        </is>
      </c>
      <c r="F39" t="n">
        <v>2</v>
      </c>
      <c r="G39" t="n">
        <v>3</v>
      </c>
      <c r="H39" t="n">
        <v>1</v>
      </c>
      <c r="I39" t="inlineStr">
        <is>
          <t>NA</t>
        </is>
      </c>
      <c r="J39" t="n">
        <v>2</v>
      </c>
      <c r="K39" t="n">
        <v>1</v>
      </c>
      <c r="L39" t="inlineStr">
        <is>
          <t>NA</t>
        </is>
      </c>
      <c r="M39" t="inlineStr">
        <is>
          <t>NA</t>
        </is>
      </c>
      <c r="N39" t="n">
        <v>1</v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</row>
    <row r="40">
      <c r="A40" t="inlineStr">
        <is>
          <t>D6-Q5</t>
        </is>
      </c>
      <c r="B40" t="inlineStr">
        <is>
          <t>D6</t>
        </is>
      </c>
      <c r="C40" t="inlineStr">
        <is>
          <t>AI supply chain</t>
        </is>
      </c>
      <c r="D40" t="inlineStr">
        <is>
          <t>NA</t>
        </is>
      </c>
      <c r="E40" t="n">
        <v>2</v>
      </c>
      <c r="F40" t="inlineStr">
        <is>
          <t>NA</t>
        </is>
      </c>
      <c r="G40" t="n">
        <v>2</v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n">
        <v>1</v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n">
        <v>1</v>
      </c>
      <c r="P40" t="inlineStr">
        <is>
          <t>NA</t>
        </is>
      </c>
      <c r="Q40" t="inlineStr">
        <is>
          <t>NA</t>
        </is>
      </c>
    </row>
    <row r="41">
      <c r="A41" t="inlineStr">
        <is>
          <t>D6-Q6</t>
        </is>
      </c>
      <c r="B41" t="inlineStr">
        <is>
          <t>D6</t>
        </is>
      </c>
      <c r="C41" t="inlineStr">
        <is>
          <t>Threat modeling para features e agentes de IA</t>
        </is>
      </c>
      <c r="D41" t="inlineStr">
        <is>
          <t>NA</t>
        </is>
      </c>
      <c r="E41" t="n">
        <v>2</v>
      </c>
      <c r="F41" t="n">
        <v>3</v>
      </c>
      <c r="G41" t="inlineStr">
        <is>
          <t>NA</t>
        </is>
      </c>
      <c r="H41" t="n">
        <v>2</v>
      </c>
      <c r="I41" t="inlineStr">
        <is>
          <t>NA</t>
        </is>
      </c>
      <c r="J41" t="inlineStr">
        <is>
          <t>NA</t>
        </is>
      </c>
      <c r="K41" t="n">
        <v>2</v>
      </c>
      <c r="L41" t="n">
        <v>1</v>
      </c>
      <c r="M41" t="inlineStr">
        <is>
          <t>NA</t>
        </is>
      </c>
      <c r="N41" t="inlineStr">
        <is>
          <t>NA</t>
        </is>
      </c>
      <c r="O41" t="n">
        <v>1</v>
      </c>
      <c r="P41" t="n">
        <v>1</v>
      </c>
      <c r="Q41" t="n">
        <v>1</v>
      </c>
    </row>
    <row r="42">
      <c r="A42" t="inlineStr">
        <is>
          <t>D6-Q7</t>
        </is>
      </c>
      <c r="B42" t="inlineStr">
        <is>
          <t>D6</t>
        </is>
      </c>
      <c r="C42" t="inlineStr">
        <is>
          <t>Trilha de auditoria para ações de agentes</t>
        </is>
      </c>
      <c r="D42" t="inlineStr">
        <is>
          <t>NA</t>
        </is>
      </c>
      <c r="E42" t="n">
        <v>3</v>
      </c>
      <c r="F42" t="n">
        <v>2</v>
      </c>
      <c r="G42" t="n">
        <v>2</v>
      </c>
      <c r="H42" t="n">
        <v>2</v>
      </c>
      <c r="I42" t="n">
        <v>2</v>
      </c>
      <c r="J42" t="n">
        <v>1</v>
      </c>
      <c r="K42" t="inlineStr">
        <is>
          <t>NA</t>
        </is>
      </c>
      <c r="L42" t="n">
        <v>2</v>
      </c>
      <c r="M42" t="n">
        <v>2</v>
      </c>
      <c r="N42" t="n">
        <v>3</v>
      </c>
      <c r="O42" t="n">
        <v>3</v>
      </c>
      <c r="P42" t="n">
        <v>1</v>
      </c>
      <c r="Q42" t="n">
        <v>2</v>
      </c>
    </row>
    <row r="43">
      <c r="A43" t="inlineStr">
        <is>
          <t>D7-Q1</t>
        </is>
      </c>
      <c r="B43" t="inlineStr">
        <is>
          <t>D7</t>
        </is>
      </c>
      <c r="C43" t="inlineStr">
        <is>
          <t>IA em pipelines CI/CD</t>
        </is>
      </c>
      <c r="D43" t="inlineStr">
        <is>
          <t>NA</t>
        </is>
      </c>
      <c r="E43" t="n">
        <v>2</v>
      </c>
      <c r="F43" t="n">
        <v>2</v>
      </c>
      <c r="G43" t="n">
        <v>3</v>
      </c>
      <c r="H43" t="n">
        <v>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2</v>
      </c>
      <c r="O43" t="n">
        <v>2</v>
      </c>
      <c r="P43" t="n">
        <v>1</v>
      </c>
      <c r="Q43" t="n">
        <v>3</v>
      </c>
    </row>
    <row r="44">
      <c r="A44" t="inlineStr">
        <is>
          <t>D7-Q2</t>
        </is>
      </c>
      <c r="B44" t="inlineStr">
        <is>
          <t>D7</t>
        </is>
      </c>
      <c r="C44" t="inlineStr">
        <is>
          <t>Entrega progressiva e rollback</t>
        </is>
      </c>
      <c r="D44" t="n">
        <v>3</v>
      </c>
      <c r="E44" t="inlineStr">
        <is>
          <t>NA</t>
        </is>
      </c>
      <c r="F44" t="n">
        <v>3</v>
      </c>
      <c r="G44" t="n">
        <v>2</v>
      </c>
      <c r="H44" t="n">
        <v>2</v>
      </c>
      <c r="I44" t="n">
        <v>1</v>
      </c>
      <c r="J44" t="n">
        <v>2</v>
      </c>
      <c r="K44" t="n">
        <v>2</v>
      </c>
      <c r="L44" t="n">
        <v>1</v>
      </c>
      <c r="M44" t="inlineStr">
        <is>
          <t>NA</t>
        </is>
      </c>
      <c r="N44" t="n">
        <v>1</v>
      </c>
      <c r="O44" t="n">
        <v>1</v>
      </c>
      <c r="P44" t="n">
        <v>2</v>
      </c>
      <c r="Q44" t="n">
        <v>2</v>
      </c>
    </row>
    <row r="45">
      <c r="A45" t="inlineStr">
        <is>
          <t>D7-Q3</t>
        </is>
      </c>
      <c r="B45" t="inlineStr">
        <is>
          <t>D7</t>
        </is>
      </c>
      <c r="C45" t="inlineStr">
        <is>
          <t>Resposta a incidentes assistida por IA</t>
        </is>
      </c>
      <c r="D45" t="n">
        <v>2</v>
      </c>
      <c r="E45" t="n">
        <v>2</v>
      </c>
      <c r="F45" t="n">
        <v>2</v>
      </c>
      <c r="G45" t="n">
        <v>3</v>
      </c>
      <c r="H45" t="n">
        <v>1</v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2</v>
      </c>
      <c r="O45" t="n">
        <v>1</v>
      </c>
      <c r="P45" t="n">
        <v>2</v>
      </c>
      <c r="Q45" t="n">
        <v>2</v>
      </c>
    </row>
    <row r="46">
      <c r="A46" t="inlineStr">
        <is>
          <t>D7-Q4</t>
        </is>
      </c>
      <c r="B46" t="inlineStr">
        <is>
          <t>D7</t>
        </is>
      </c>
      <c r="C46" t="inlineStr">
        <is>
          <t>Observabilidade de agentes</t>
        </is>
      </c>
      <c r="D46" t="n">
        <v>3</v>
      </c>
      <c r="E46" t="n">
        <v>2</v>
      </c>
      <c r="F46" t="n">
        <v>2</v>
      </c>
      <c r="G46" t="n">
        <v>1</v>
      </c>
      <c r="H46" t="n">
        <v>2</v>
      </c>
      <c r="I46" t="n">
        <v>1</v>
      </c>
      <c r="J46" t="n">
        <v>1</v>
      </c>
      <c r="K46" t="n">
        <v>1</v>
      </c>
      <c r="L46" t="n">
        <v>2</v>
      </c>
      <c r="M46" t="n">
        <v>1</v>
      </c>
      <c r="N46" t="n">
        <v>2</v>
      </c>
      <c r="O46" t="n">
        <v>1</v>
      </c>
      <c r="P46" t="n">
        <v>1</v>
      </c>
      <c r="Q46" t="n">
        <v>2</v>
      </c>
    </row>
    <row r="47">
      <c r="A47" t="inlineStr">
        <is>
          <t>D7-Q5</t>
        </is>
      </c>
      <c r="B47" t="inlineStr">
        <is>
          <t>D7</t>
        </is>
      </c>
      <c r="C47" t="inlineStr">
        <is>
          <t>Infrastructure as code com guardrails</t>
        </is>
      </c>
      <c r="D47" t="n">
        <v>2</v>
      </c>
      <c r="E47" t="inlineStr">
        <is>
          <t>NA</t>
        </is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1</v>
      </c>
      <c r="L47" t="n">
        <v>2</v>
      </c>
      <c r="M47" t="n">
        <v>2</v>
      </c>
      <c r="N47" t="n">
        <v>1</v>
      </c>
      <c r="O47" t="n">
        <v>2</v>
      </c>
      <c r="P47" t="n">
        <v>1</v>
      </c>
      <c r="Q47" t="n">
        <v>3</v>
      </c>
    </row>
    <row r="48">
      <c r="A48" t="inlineStr">
        <is>
          <t>D7-Q6</t>
        </is>
      </c>
      <c r="B48" t="inlineStr">
        <is>
          <t>D7</t>
        </is>
      </c>
      <c r="C48" t="inlineStr">
        <is>
          <t>Automação operacional orientada por agentes</t>
        </is>
      </c>
      <c r="D48" t="n">
        <v>3</v>
      </c>
      <c r="E48" t="n">
        <v>3</v>
      </c>
      <c r="F48" t="n">
        <v>2</v>
      </c>
      <c r="G48" t="n">
        <v>2</v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</row>
    <row r="49">
      <c r="A49" t="inlineStr">
        <is>
          <t>D8-Q1</t>
        </is>
      </c>
      <c r="B49" t="inlineStr">
        <is>
          <t>D8</t>
        </is>
      </c>
      <c r="C49" t="inlineStr">
        <is>
          <t>Controle de versão para tudo</t>
        </is>
      </c>
      <c r="D49" t="n">
        <v>2</v>
      </c>
      <c r="E49" t="n">
        <v>2</v>
      </c>
      <c r="F49" t="n">
        <v>2</v>
      </c>
      <c r="G49" t="n">
        <v>1</v>
      </c>
      <c r="H49" t="n">
        <v>2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</v>
      </c>
    </row>
    <row r="50">
      <c r="A50" t="inlineStr">
        <is>
          <t>D8-Q2</t>
        </is>
      </c>
      <c r="B50" t="inlineStr">
        <is>
          <t>D8</t>
        </is>
      </c>
      <c r="C50" t="inlineStr">
        <is>
          <t>Frequência de commit e rollback rápido</t>
        </is>
      </c>
      <c r="D50" t="n">
        <v>2</v>
      </c>
      <c r="E50" t="n">
        <v>1</v>
      </c>
      <c r="F50" t="n">
        <v>2</v>
      </c>
      <c r="G50" t="n">
        <v>1</v>
      </c>
      <c r="H50" t="n">
        <v>2</v>
      </c>
      <c r="I50" t="n">
        <v>2</v>
      </c>
      <c r="J50" t="n">
        <v>0</v>
      </c>
      <c r="K50" t="inlineStr">
        <is>
          <t>NA</t>
        </is>
      </c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</row>
    <row r="51">
      <c r="A51" t="inlineStr">
        <is>
          <t>D8-Q3</t>
        </is>
      </c>
      <c r="B51" t="inlineStr">
        <is>
          <t>D8</t>
        </is>
      </c>
      <c r="C51" t="inlineStr">
        <is>
          <t>Plataforma interna de qualidade</t>
        </is>
      </c>
      <c r="D51" t="n">
        <v>2</v>
      </c>
      <c r="E51" t="n">
        <v>2</v>
      </c>
      <c r="F51" t="n">
        <v>2</v>
      </c>
      <c r="G51" t="n">
        <v>1</v>
      </c>
      <c r="H51" t="n">
        <v>1</v>
      </c>
      <c r="I51" t="n">
        <v>2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1</v>
      </c>
      <c r="P51" t="n">
        <v>1</v>
      </c>
      <c r="Q51" t="n">
        <v>2</v>
      </c>
    </row>
    <row r="52">
      <c r="A52" t="inlineStr">
        <is>
          <t>D8-Q4</t>
        </is>
      </c>
      <c r="B52" t="inlineStr">
        <is>
          <t>D8</t>
        </is>
      </c>
      <c r="C52" t="inlineStr">
        <is>
          <t>Ecossistema de dados saudável</t>
        </is>
      </c>
      <c r="D52" t="n">
        <v>2</v>
      </c>
      <c r="E52" t="inlineStr">
        <is>
          <t>NA</t>
        </is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</row>
    <row r="53">
      <c r="A53" t="inlineStr">
        <is>
          <t>D8-Q5</t>
        </is>
      </c>
      <c r="B53" t="inlineStr">
        <is>
          <t>D8</t>
        </is>
      </c>
      <c r="C53" t="inlineStr">
        <is>
          <t>Ambientes reproduzíveis para humanos e agentes</t>
        </is>
      </c>
      <c r="D53" t="n">
        <v>1</v>
      </c>
      <c r="E53" t="n">
        <v>2</v>
      </c>
      <c r="F53" t="n">
        <v>2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</row>
    <row r="54">
      <c r="A54" t="inlineStr">
        <is>
          <t>D8-Q6</t>
        </is>
      </c>
      <c r="B54" t="inlineStr">
        <is>
          <t>D8</t>
        </is>
      </c>
      <c r="C54" t="inlineStr">
        <is>
          <t>Documentação como contexto pronto para IA</t>
        </is>
      </c>
      <c r="D54" t="n">
        <v>2</v>
      </c>
      <c r="E54" t="n">
        <v>2</v>
      </c>
      <c r="F54" t="n">
        <v>2</v>
      </c>
      <c r="G54" t="n">
        <v>1</v>
      </c>
      <c r="H54" t="n">
        <v>1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D8-Q7</t>
        </is>
      </c>
      <c r="B55" t="inlineStr">
        <is>
          <t>D8</t>
        </is>
      </c>
      <c r="C55" t="inlineStr">
        <is>
          <t>Testes automatizados como sistema de controle</t>
        </is>
      </c>
      <c r="D55" t="inlineStr">
        <is>
          <t>NA</t>
        </is>
      </c>
      <c r="E55" t="inlineStr">
        <is>
          <t>NA</t>
        </is>
      </c>
      <c r="F55" t="n">
        <v>2</v>
      </c>
      <c r="G55" t="n">
        <v>2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</row>
    <row r="56">
      <c r="A56" t="inlineStr">
        <is>
          <t>D9-Q1</t>
        </is>
      </c>
      <c r="B56" t="inlineStr">
        <is>
          <t>D9</t>
        </is>
      </c>
      <c r="C56" t="inlineStr">
        <is>
          <t>Métricas de profundidade de adoção</t>
        </is>
      </c>
      <c r="D56" t="n">
        <v>3</v>
      </c>
      <c r="E56" t="n">
        <v>2</v>
      </c>
      <c r="F56" t="n">
        <v>2</v>
      </c>
      <c r="G56" t="n">
        <v>2</v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n">
        <v>2</v>
      </c>
      <c r="N56" t="n">
        <v>2</v>
      </c>
      <c r="O56" t="n">
        <v>2</v>
      </c>
      <c r="P56" t="n">
        <v>1</v>
      </c>
      <c r="Q56" t="n">
        <v>2</v>
      </c>
    </row>
    <row r="57">
      <c r="A57" t="inlineStr">
        <is>
          <t>D9-Q2</t>
        </is>
      </c>
      <c r="B57" t="inlineStr">
        <is>
          <t>D9</t>
        </is>
      </c>
      <c r="C57" t="inlineStr">
        <is>
          <t>Métricas de resultado de entrega</t>
        </is>
      </c>
      <c r="D57" t="n">
        <v>2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1</v>
      </c>
      <c r="K57" t="inlineStr">
        <is>
          <t>NA</t>
        </is>
      </c>
      <c r="L57" t="n">
        <v>1</v>
      </c>
      <c r="M57" t="n">
        <v>2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D9-Q3</t>
        </is>
      </c>
      <c r="B58" t="inlineStr">
        <is>
          <t>D9</t>
        </is>
      </c>
      <c r="C58" t="inlineStr">
        <is>
          <t>Métricas de fluxo de pull request</t>
        </is>
      </c>
      <c r="D58" t="inlineStr">
        <is>
          <t>NA</t>
        </is>
      </c>
      <c r="E58" t="n">
        <v>1</v>
      </c>
      <c r="F58" t="inlineStr">
        <is>
          <t>NA</t>
        </is>
      </c>
      <c r="G58" t="n">
        <v>2</v>
      </c>
      <c r="H58" t="n">
        <v>2</v>
      </c>
      <c r="I58" t="n">
        <v>1</v>
      </c>
      <c r="J58" t="n">
        <v>2</v>
      </c>
      <c r="K58" t="n">
        <v>1</v>
      </c>
      <c r="L58" t="n">
        <v>1</v>
      </c>
      <c r="M58" t="n">
        <v>1</v>
      </c>
      <c r="N58" t="n">
        <v>2</v>
      </c>
      <c r="O58" t="n">
        <v>1</v>
      </c>
      <c r="P58" t="n">
        <v>0</v>
      </c>
      <c r="Q58" t="n">
        <v>2</v>
      </c>
    </row>
    <row r="59">
      <c r="A59" t="inlineStr">
        <is>
          <t>D9-Q4</t>
        </is>
      </c>
      <c r="B59" t="inlineStr">
        <is>
          <t>D9</t>
        </is>
      </c>
      <c r="C59" t="inlineStr">
        <is>
          <t>Developer experience e fricção</t>
        </is>
      </c>
      <c r="D59" t="n">
        <v>2</v>
      </c>
      <c r="E59" t="n">
        <v>3</v>
      </c>
      <c r="F59" t="n">
        <v>2</v>
      </c>
      <c r="G59" t="n">
        <v>1</v>
      </c>
      <c r="H59" t="n">
        <v>1</v>
      </c>
      <c r="I59" t="n">
        <v>2</v>
      </c>
      <c r="J59" t="n">
        <v>1</v>
      </c>
      <c r="K59" t="n">
        <v>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3</v>
      </c>
    </row>
    <row r="60">
      <c r="A60" t="inlineStr">
        <is>
          <t>D9-Q5</t>
        </is>
      </c>
      <c r="B60" t="inlineStr">
        <is>
          <t>D9</t>
        </is>
      </c>
      <c r="C60" t="inlineStr">
        <is>
          <t>Medição controlada de impacto</t>
        </is>
      </c>
      <c r="D60" t="n">
        <v>2</v>
      </c>
      <c r="E60" t="n">
        <v>3</v>
      </c>
      <c r="F60" t="n">
        <v>2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1</v>
      </c>
      <c r="O60" t="n">
        <v>2</v>
      </c>
      <c r="P60" t="n">
        <v>2</v>
      </c>
      <c r="Q60" t="n">
        <v>2</v>
      </c>
    </row>
    <row r="61">
      <c r="A61" t="inlineStr">
        <is>
          <t>D9-Q6</t>
        </is>
      </c>
      <c r="B61" t="inlineStr">
        <is>
          <t>D9</t>
        </is>
      </c>
      <c r="C61" t="inlineStr">
        <is>
          <t>Governança de custos de IA (AI FinOps)</t>
        </is>
      </c>
      <c r="D61" t="n">
        <v>3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1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2</v>
      </c>
    </row>
    <row r="62">
      <c r="A62" t="inlineStr">
        <is>
          <t>D9-Q7</t>
        </is>
      </c>
      <c r="B62" t="inlineStr">
        <is>
          <t>D9</t>
        </is>
      </c>
      <c r="C62" t="inlineStr">
        <is>
          <t>Vínculo com valor de negócio</t>
        </is>
      </c>
      <c r="D62" t="n">
        <v>2</v>
      </c>
      <c r="E62" t="n">
        <v>2</v>
      </c>
      <c r="F62" t="n">
        <v>2</v>
      </c>
      <c r="G62" t="n">
        <v>1</v>
      </c>
      <c r="H62" t="n">
        <v>3</v>
      </c>
      <c r="I62" t="n">
        <v>2</v>
      </c>
      <c r="J62" t="inlineStr">
        <is>
          <t>NA</t>
        </is>
      </c>
      <c r="K62" t="n">
        <v>1</v>
      </c>
      <c r="L62" t="n">
        <v>1</v>
      </c>
      <c r="M62" t="n">
        <v>1</v>
      </c>
      <c r="N62" t="inlineStr">
        <is>
          <t>NA</t>
        </is>
      </c>
      <c r="O62" t="n">
        <v>1</v>
      </c>
      <c r="P62" t="n">
        <v>1</v>
      </c>
      <c r="Q62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Question</t>
        </is>
      </c>
      <c r="B1" s="2" t="inlineStr">
        <is>
          <t>Dimension</t>
        </is>
      </c>
      <c r="C1" s="2" t="inlineStr">
        <is>
          <t>Title</t>
        </is>
      </c>
      <c r="D1" s="2" t="inlineStr">
        <is>
          <t>Score</t>
        </is>
      </c>
      <c r="E1" s="2" t="inlineStr">
        <is>
          <t>Level</t>
        </is>
      </c>
      <c r="F1" s="2" t="inlineStr">
        <is>
          <t>n</t>
        </is>
      </c>
      <c r="G1" s="2" t="inlineStr">
        <is>
          <t>NA</t>
        </is>
      </c>
      <c r="H1" s="2" t="inlineStr">
        <is>
          <t>Engine</t>
        </is>
      </c>
    </row>
    <row r="2">
      <c r="A2" t="inlineStr">
        <is>
          <t>D1-Q1</t>
        </is>
      </c>
      <c r="B2" t="inlineStr">
        <is>
          <t>D1</t>
        </is>
      </c>
      <c r="C2" t="inlineStr">
        <is>
          <t>Estratégia de IA para engenharia de software</t>
        </is>
      </c>
      <c r="D2" s="3">
        <f>IF(COUNT(Answers!D2:Q2)=0,"",AVERAGE(Answers!D2:Q2))</f>
        <v/>
      </c>
      <c r="E2">
        <f>IF(D2="","",IF(ROUND(D2,9)&lt;0.8,"L0",IF(ROUND(D2,9)&lt;1.6,"L1",IF(ROUND(D2,9)&lt;2.4,"L2",IF(ROUND(D2,9)&lt;3.2,"L3","L4")))))</f>
        <v/>
      </c>
      <c r="F2">
        <f>COUNT(Answers!D2:Q2)</f>
        <v/>
      </c>
      <c r="G2">
        <f>COUNTIF(Answers!D2:Q2,"NA")</f>
        <v/>
      </c>
      <c r="H2" s="3" t="n">
        <v>2.769</v>
      </c>
    </row>
    <row r="3">
      <c r="A3" t="inlineStr">
        <is>
          <t>D1-Q2</t>
        </is>
      </c>
      <c r="B3" t="inlineStr">
        <is>
          <t>D1</t>
        </is>
      </c>
      <c r="C3" t="inlineStr">
        <is>
          <t>Política de uso aceitável</t>
        </is>
      </c>
      <c r="D3" s="3">
        <f>IF(COUNT(Answers!D3:Q3)=0,"",AVERAGE(Answers!D3:Q3))</f>
        <v/>
      </c>
      <c r="E3">
        <f>IF(D3="","",IF(ROUND(D3,9)&lt;0.8,"L0",IF(ROUND(D3,9)&lt;1.6,"L1",IF(ROUND(D3,9)&lt;2.4,"L2",IF(ROUND(D3,9)&lt;3.2,"L3","L4")))))</f>
        <v/>
      </c>
      <c r="F3">
        <f>COUNT(Answers!D3:Q3)</f>
        <v/>
      </c>
      <c r="G3">
        <f>COUNTIF(Answers!D3:Q3,"NA")</f>
        <v/>
      </c>
      <c r="H3" s="3" t="n">
        <v>2.929</v>
      </c>
    </row>
    <row r="4">
      <c r="A4" t="inlineStr">
        <is>
          <t>D1-Q3</t>
        </is>
      </c>
      <c r="B4" t="inlineStr">
        <is>
          <t>D1</t>
        </is>
      </c>
      <c r="C4" t="inlineStr">
        <is>
          <t>Ferramentas e modelos aprovados</t>
        </is>
      </c>
      <c r="D4" s="3">
        <f>IF(COUNT(Answers!D4:Q4)=0,"",AVERAGE(Answers!D4:Q4))</f>
        <v/>
      </c>
      <c r="E4">
        <f>IF(D4="","",IF(ROUND(D4,9)&lt;0.8,"L0",IF(ROUND(D4,9)&lt;1.6,"L1",IF(ROUND(D4,9)&lt;2.4,"L2",IF(ROUND(D4,9)&lt;3.2,"L3","L4")))))</f>
        <v/>
      </c>
      <c r="F4">
        <f>COUNT(Answers!D4:Q4)</f>
        <v/>
      </c>
      <c r="G4">
        <f>COUNTIF(Answers!D4:Q4,"NA")</f>
        <v/>
      </c>
      <c r="H4" s="3" t="n">
        <v>2.75</v>
      </c>
    </row>
    <row r="5">
      <c r="A5" t="inlineStr">
        <is>
          <t>D1-Q4</t>
        </is>
      </c>
      <c r="B5" t="inlineStr">
        <is>
          <t>D1</t>
        </is>
      </c>
      <c r="C5" t="inlineStr">
        <is>
          <t>Proteção de dados, IP e residência</t>
        </is>
      </c>
      <c r="D5" s="3">
        <f>IF(COUNT(Answers!D5:Q5)=0,"",AVERAGE(Answers!D5:Q5))</f>
        <v/>
      </c>
      <c r="E5">
        <f>IF(D5="","",IF(ROUND(D5,9)&lt;0.8,"L0",IF(ROUND(D5,9)&lt;1.6,"L1",IF(ROUND(D5,9)&lt;2.4,"L2",IF(ROUND(D5,9)&lt;3.2,"L3","L4")))))</f>
        <v/>
      </c>
      <c r="F5">
        <f>COUNT(Answers!D5:Q5)</f>
        <v/>
      </c>
      <c r="G5">
        <f>COUNTIF(Answers!D5:Q5,"NA")</f>
        <v/>
      </c>
      <c r="H5" s="3" t="n">
        <v>3.077</v>
      </c>
    </row>
    <row r="6">
      <c r="A6" t="inlineStr">
        <is>
          <t>D1-Q5</t>
        </is>
      </c>
      <c r="B6" t="inlineStr">
        <is>
          <t>D1</t>
        </is>
      </c>
      <c r="C6" t="inlineStr">
        <is>
          <t>Níveis de autonomia para trabalho com IA</t>
        </is>
      </c>
      <c r="D6" s="3">
        <f>IF(COUNT(Answers!D6:Q6)=0,"",AVERAGE(Answers!D6:Q6))</f>
        <v/>
      </c>
      <c r="E6">
        <f>IF(D6="","",IF(ROUND(D6,9)&lt;0.8,"L0",IF(ROUND(D6,9)&lt;1.6,"L1",IF(ROUND(D6,9)&lt;2.4,"L2",IF(ROUND(D6,9)&lt;3.2,"L3","L4")))))</f>
        <v/>
      </c>
      <c r="F6">
        <f>COUNT(Answers!D6:Q6)</f>
        <v/>
      </c>
      <c r="G6">
        <f>COUNTIF(Answers!D6:Q6,"NA")</f>
        <v/>
      </c>
      <c r="H6" s="3" t="n">
        <v>2.692</v>
      </c>
    </row>
    <row r="7">
      <c r="A7" t="inlineStr">
        <is>
          <t>D1-Q6</t>
        </is>
      </c>
      <c r="B7" t="inlineStr">
        <is>
          <t>D1</t>
        </is>
      </c>
      <c r="C7" t="inlineStr">
        <is>
          <t>IA responsável e framework de risco</t>
        </is>
      </c>
      <c r="D7" s="3">
        <f>IF(COUNT(Answers!D7:Q7)=0,"",AVERAGE(Answers!D7:Q7))</f>
        <v/>
      </c>
      <c r="E7">
        <f>IF(D7="","",IF(ROUND(D7,9)&lt;0.8,"L0",IF(ROUND(D7,9)&lt;1.6,"L1",IF(ROUND(D7,9)&lt;2.4,"L2",IF(ROUND(D7,9)&lt;3.2,"L3","L4")))))</f>
        <v/>
      </c>
      <c r="F7">
        <f>COUNT(Answers!D7:Q7)</f>
        <v/>
      </c>
      <c r="G7">
        <f>COUNTIF(Answers!D7:Q7,"NA")</f>
        <v/>
      </c>
      <c r="H7" s="3" t="n">
        <v>2.714</v>
      </c>
    </row>
    <row r="8">
      <c r="A8" t="inlineStr">
        <is>
          <t>D1-Q7</t>
        </is>
      </c>
      <c r="B8" t="inlineStr">
        <is>
          <t>D1</t>
        </is>
      </c>
      <c r="C8" t="inlineStr">
        <is>
          <t>Registro e identidade de agentes</t>
        </is>
      </c>
      <c r="D8" s="3">
        <f>IF(COUNT(Answers!D8:Q8)=0,"",AVERAGE(Answers!D8:Q8))</f>
        <v/>
      </c>
      <c r="E8">
        <f>IF(D8="","",IF(ROUND(D8,9)&lt;0.8,"L0",IF(ROUND(D8,9)&lt;1.6,"L1",IF(ROUND(D8,9)&lt;2.4,"L2",IF(ROUND(D8,9)&lt;3.2,"L3","L4")))))</f>
        <v/>
      </c>
      <c r="F8">
        <f>COUNT(Answers!D8:Q8)</f>
        <v/>
      </c>
      <c r="G8">
        <f>COUNTIF(Answers!D8:Q8,"NA")</f>
        <v/>
      </c>
      <c r="H8" s="3" t="n">
        <v>2.786</v>
      </c>
    </row>
    <row r="9">
      <c r="A9" t="inlineStr">
        <is>
          <t>D2-Q1</t>
        </is>
      </c>
      <c r="B9" t="inlineStr">
        <is>
          <t>D2</t>
        </is>
      </c>
      <c r="C9" t="inlineStr">
        <is>
          <t>Treinamento estruturado de IA</t>
        </is>
      </c>
      <c r="D9" s="3">
        <f>IF(COUNT(Answers!D9:Q9)=0,"",AVERAGE(Answers!D9:Q9))</f>
        <v/>
      </c>
      <c r="E9">
        <f>IF(D9="","",IF(ROUND(D9,9)&lt;0.8,"L0",IF(ROUND(D9,9)&lt;1.6,"L1",IF(ROUND(D9,9)&lt;2.4,"L2",IF(ROUND(D9,9)&lt;3.2,"L3","L4")))))</f>
        <v/>
      </c>
      <c r="F9">
        <f>COUNT(Answers!D9:Q9)</f>
        <v/>
      </c>
      <c r="G9">
        <f>COUNTIF(Answers!D9:Q9,"NA")</f>
        <v/>
      </c>
      <c r="H9" s="3" t="n">
        <v>2.154</v>
      </c>
    </row>
    <row r="10">
      <c r="A10" t="inlineStr">
        <is>
          <t>D2-Q2</t>
        </is>
      </c>
      <c r="B10" t="inlineStr">
        <is>
          <t>D2</t>
        </is>
      </c>
      <c r="C10" t="inlineStr">
        <is>
          <t>Aprendizagem entre pares e champions</t>
        </is>
      </c>
      <c r="D10" s="3">
        <f>IF(COUNT(Answers!D10:Q10)=0,"",AVERAGE(Answers!D10:Q10))</f>
        <v/>
      </c>
      <c r="E10">
        <f>IF(D10="","",IF(ROUND(D10,9)&lt;0.8,"L0",IF(ROUND(D10,9)&lt;1.6,"L1",IF(ROUND(D10,9)&lt;2.4,"L2",IF(ROUND(D10,9)&lt;3.2,"L3","L4")))))</f>
        <v/>
      </c>
      <c r="F10">
        <f>COUNT(Answers!D10:Q10)</f>
        <v/>
      </c>
      <c r="G10">
        <f>COUNTIF(Answers!D10:Q10,"NA")</f>
        <v/>
      </c>
      <c r="H10" s="3" t="n">
        <v>2.357</v>
      </c>
    </row>
    <row r="11">
      <c r="A11" t="inlineStr">
        <is>
          <t>D2-Q3</t>
        </is>
      </c>
      <c r="B11" t="inlineStr">
        <is>
          <t>D2</t>
        </is>
      </c>
      <c r="C11" t="inlineStr">
        <is>
          <t>Suporte à experimentação</t>
        </is>
      </c>
      <c r="D11" s="3">
        <f>IF(COUNT(Answers!D11:Q11)=0,"",AVERAGE(Answers!D11:Q11))</f>
        <v/>
      </c>
      <c r="E11">
        <f>IF(D11="","",IF(ROUND(D11,9)&lt;0.8,"L0",IF(ROUND(D11,9)&lt;1.6,"L1",IF(ROUND(D11,9)&lt;2.4,"L2",IF(ROUND(D11,9)&lt;3.2,"L3","L4")))))</f>
        <v/>
      </c>
      <c r="F11">
        <f>COUNT(Answers!D11:Q11)</f>
        <v/>
      </c>
      <c r="G11">
        <f>COUNTIF(Answers!D11:Q11,"NA")</f>
        <v/>
      </c>
      <c r="H11" s="3" t="n">
        <v>2.571</v>
      </c>
    </row>
    <row r="12">
      <c r="A12" t="inlineStr">
        <is>
          <t>D2-Q4</t>
        </is>
      </c>
      <c r="B12" t="inlineStr">
        <is>
          <t>D2</t>
        </is>
      </c>
      <c r="C12" t="inlineStr">
        <is>
          <t>Habilidades de engenharia de contexto</t>
        </is>
      </c>
      <c r="D12" s="3">
        <f>IF(COUNT(Answers!D12:Q12)=0,"",AVERAGE(Answers!D12:Q12))</f>
        <v/>
      </c>
      <c r="E12">
        <f>IF(D12="","",IF(ROUND(D12,9)&lt;0.8,"L0",IF(ROUND(D12,9)&lt;1.6,"L1",IF(ROUND(D12,9)&lt;2.4,"L2",IF(ROUND(D12,9)&lt;3.2,"L3","L4")))))</f>
        <v/>
      </c>
      <c r="F12">
        <f>COUNT(Answers!D12:Q12)</f>
        <v/>
      </c>
      <c r="G12">
        <f>COUNTIF(Answers!D12:Q12,"NA")</f>
        <v/>
      </c>
      <c r="H12" s="3" t="n">
        <v>2.214</v>
      </c>
    </row>
    <row r="13">
      <c r="A13" t="inlineStr">
        <is>
          <t>D2-Q5</t>
        </is>
      </c>
      <c r="B13" t="inlineStr">
        <is>
          <t>D2</t>
        </is>
      </c>
      <c r="C13" t="inlineStr">
        <is>
          <t>Papéis e trajetórias de carreira</t>
        </is>
      </c>
      <c r="D13" s="3">
        <f>IF(COUNT(Answers!D13:Q13)=0,"",AVERAGE(Answers!D13:Q13))</f>
        <v/>
      </c>
      <c r="E13">
        <f>IF(D13="","",IF(ROUND(D13,9)&lt;0.8,"L0",IF(ROUND(D13,9)&lt;1.6,"L1",IF(ROUND(D13,9)&lt;2.4,"L2",IF(ROUND(D13,9)&lt;3.2,"L3","L4")))))</f>
        <v/>
      </c>
      <c r="F13">
        <f>COUNT(Answers!D13:Q13)</f>
        <v/>
      </c>
      <c r="G13">
        <f>COUNTIF(Answers!D13:Q13,"NA")</f>
        <v/>
      </c>
      <c r="H13" s="3" t="n">
        <v>2.214</v>
      </c>
    </row>
    <row r="14">
      <c r="A14" t="inlineStr">
        <is>
          <t>D2-Q6</t>
        </is>
      </c>
      <c r="B14" t="inlineStr">
        <is>
          <t>D2</t>
        </is>
      </c>
      <c r="C14" t="inlineStr">
        <is>
          <t>Onboarding assistido por IA</t>
        </is>
      </c>
      <c r="D14" s="3">
        <f>IF(COUNT(Answers!D14:Q14)=0,"",AVERAGE(Answers!D14:Q14))</f>
        <v/>
      </c>
      <c r="E14">
        <f>IF(D14="","",IF(ROUND(D14,9)&lt;0.8,"L0",IF(ROUND(D14,9)&lt;1.6,"L1",IF(ROUND(D14,9)&lt;2.4,"L2",IF(ROUND(D14,9)&lt;3.2,"L3","L4")))))</f>
        <v/>
      </c>
      <c r="F14">
        <f>COUNT(Answers!D14:Q14)</f>
        <v/>
      </c>
      <c r="G14">
        <f>COUNTIF(Answers!D14:Q14,"NA")</f>
        <v/>
      </c>
      <c r="H14" s="3" t="n">
        <v>2.154</v>
      </c>
    </row>
    <row r="15">
      <c r="A15" t="inlineStr">
        <is>
          <t>D3-Q1</t>
        </is>
      </c>
      <c r="B15" t="inlineStr">
        <is>
          <t>D3</t>
        </is>
      </c>
      <c r="C15" t="inlineStr">
        <is>
          <t>IA no refinamento de backlog</t>
        </is>
      </c>
      <c r="D15" s="3">
        <f>IF(COUNT(Answers!D15:Q15)=0,"",AVERAGE(Answers!D15:Q15))</f>
        <v/>
      </c>
      <c r="E15">
        <f>IF(D15="","",IF(ROUND(D15,9)&lt;0.8,"L0",IF(ROUND(D15,9)&lt;1.6,"L1",IF(ROUND(D15,9)&lt;2.4,"L2",IF(ROUND(D15,9)&lt;3.2,"L3","L4")))))</f>
        <v/>
      </c>
      <c r="F15">
        <f>COUNT(Answers!D15:Q15)</f>
        <v/>
      </c>
      <c r="G15">
        <f>COUNTIF(Answers!D15:Q15,"NA")</f>
        <v/>
      </c>
      <c r="H15" s="3" t="n">
        <v>2</v>
      </c>
    </row>
    <row r="16">
      <c r="A16" t="inlineStr">
        <is>
          <t>D3-Q2</t>
        </is>
      </c>
      <c r="B16" t="inlineStr">
        <is>
          <t>D3</t>
        </is>
      </c>
      <c r="C16" t="inlineStr">
        <is>
          <t>Especificação antes da implementação</t>
        </is>
      </c>
      <c r="D16" s="3">
        <f>IF(COUNT(Answers!D16:Q16)=0,"",AVERAGE(Answers!D16:Q16))</f>
        <v/>
      </c>
      <c r="E16">
        <f>IF(D16="","",IF(ROUND(D16,9)&lt;0.8,"L0",IF(ROUND(D16,9)&lt;1.6,"L1",IF(ROUND(D16,9)&lt;2.4,"L2",IF(ROUND(D16,9)&lt;3.2,"L3","L4")))))</f>
        <v/>
      </c>
      <c r="F16">
        <f>COUNT(Answers!D16:Q16)</f>
        <v/>
      </c>
      <c r="G16">
        <f>COUNTIF(Answers!D16:Q16,"NA")</f>
        <v/>
      </c>
      <c r="H16" s="3" t="n">
        <v>2</v>
      </c>
    </row>
    <row r="17">
      <c r="A17" t="inlineStr">
        <is>
          <t>D3-Q3</t>
        </is>
      </c>
      <c r="B17" t="inlineStr">
        <is>
          <t>D3</t>
        </is>
      </c>
      <c r="C17" t="inlineStr">
        <is>
          <t>Escopo de tarefas para agentes</t>
        </is>
      </c>
      <c r="D17" s="3">
        <f>IF(COUNT(Answers!D17:Q17)=0,"",AVERAGE(Answers!D17:Q17))</f>
        <v/>
      </c>
      <c r="E17">
        <f>IF(D17="","",IF(ROUND(D17,9)&lt;0.8,"L0",IF(ROUND(D17,9)&lt;1.6,"L1",IF(ROUND(D17,9)&lt;2.4,"L2",IF(ROUND(D17,9)&lt;3.2,"L3","L4")))))</f>
        <v/>
      </c>
      <c r="F17">
        <f>COUNT(Answers!D17:Q17)</f>
        <v/>
      </c>
      <c r="G17">
        <f>COUNTIF(Answers!D17:Q17,"NA")</f>
        <v/>
      </c>
      <c r="H17" s="3" t="n">
        <v>2.154</v>
      </c>
    </row>
    <row r="18">
      <c r="A18" t="inlineStr">
        <is>
          <t>D3-Q4</t>
        </is>
      </c>
      <c r="B18" t="inlineStr">
        <is>
          <t>D3</t>
        </is>
      </c>
      <c r="C18" t="inlineStr">
        <is>
          <t>Decisões de arquitetura e design</t>
        </is>
      </c>
      <c r="D18" s="3">
        <f>IF(COUNT(Answers!D18:Q18)=0,"",AVERAGE(Answers!D18:Q18))</f>
        <v/>
      </c>
      <c r="E18">
        <f>IF(D18="","",IF(ROUND(D18,9)&lt;0.8,"L0",IF(ROUND(D18,9)&lt;1.6,"L1",IF(ROUND(D18,9)&lt;2.4,"L2",IF(ROUND(D18,9)&lt;3.2,"L3","L4")))))</f>
        <v/>
      </c>
      <c r="F18">
        <f>COUNT(Answers!D18:Q18)</f>
        <v/>
      </c>
      <c r="G18">
        <f>COUNTIF(Answers!D18:Q18,"NA")</f>
        <v/>
      </c>
      <c r="H18" s="3" t="n">
        <v>2.154</v>
      </c>
    </row>
    <row r="19">
      <c r="A19" t="inlineStr">
        <is>
          <t>D3-Q5</t>
        </is>
      </c>
      <c r="B19" t="inlineStr">
        <is>
          <t>D3</t>
        </is>
      </c>
      <c r="C19" t="inlineStr">
        <is>
          <t>Foco centrado no usuário</t>
        </is>
      </c>
      <c r="D19" s="3">
        <f>IF(COUNT(Answers!D19:Q19)=0,"",AVERAGE(Answers!D19:Q19))</f>
        <v/>
      </c>
      <c r="E19">
        <f>IF(D19="","",IF(ROUND(D19,9)&lt;0.8,"L0",IF(ROUND(D19,9)&lt;1.6,"L1",IF(ROUND(D19,9)&lt;2.4,"L2",IF(ROUND(D19,9)&lt;3.2,"L3","L4")))))</f>
        <v/>
      </c>
      <c r="F19">
        <f>COUNT(Answers!D19:Q19)</f>
        <v/>
      </c>
      <c r="G19">
        <f>COUNTIF(Answers!D19:Q19,"NA")</f>
        <v/>
      </c>
      <c r="H19" s="3" t="n">
        <v>2.071</v>
      </c>
    </row>
    <row r="20">
      <c r="A20" t="inlineStr">
        <is>
          <t>D3-Q6</t>
        </is>
      </c>
      <c r="B20" t="inlineStr">
        <is>
          <t>D3</t>
        </is>
      </c>
      <c r="C20" t="inlineStr">
        <is>
          <t>Modernização assistida por IA</t>
        </is>
      </c>
      <c r="D20" s="3">
        <f>IF(COUNT(Answers!D20:Q20)=0,"",AVERAGE(Answers!D20:Q20))</f>
        <v/>
      </c>
      <c r="E20">
        <f>IF(D20="","",IF(ROUND(D20,9)&lt;0.8,"L0",IF(ROUND(D20,9)&lt;1.6,"L1",IF(ROUND(D20,9)&lt;2.4,"L2",IF(ROUND(D20,9)&lt;3.2,"L3","L4")))))</f>
        <v/>
      </c>
      <c r="F20">
        <f>COUNT(Answers!D20:Q20)</f>
        <v/>
      </c>
      <c r="G20">
        <f>COUNTIF(Answers!D20:Q20,"NA")</f>
        <v/>
      </c>
      <c r="H20" s="3" t="n">
        <v>2.143</v>
      </c>
    </row>
    <row r="21">
      <c r="A21" t="inlineStr">
        <is>
          <t>D4-Q1</t>
        </is>
      </c>
      <c r="B21" t="inlineStr">
        <is>
          <t>D4</t>
        </is>
      </c>
      <c r="C21" t="inlineStr">
        <is>
          <t>Profundidade do uso de IA entre superfícies</t>
        </is>
      </c>
      <c r="D21" s="3">
        <f>IF(COUNT(Answers!D21:Q21)=0,"",AVERAGE(Answers!D21:Q21))</f>
        <v/>
      </c>
      <c r="E21">
        <f>IF(D21="","",IF(ROUND(D21,9)&lt;0.8,"L0",IF(ROUND(D21,9)&lt;1.6,"L1",IF(ROUND(D21,9)&lt;2.4,"L2",IF(ROUND(D21,9)&lt;3.2,"L3","L4")))))</f>
        <v/>
      </c>
      <c r="F21">
        <f>COUNT(Answers!D21:Q21)</f>
        <v/>
      </c>
      <c r="G21">
        <f>COUNTIF(Answers!D21:Q21,"NA")</f>
        <v/>
      </c>
      <c r="H21" s="3" t="n">
        <v>2.615</v>
      </c>
    </row>
    <row r="22">
      <c r="A22" t="inlineStr">
        <is>
          <t>D4-Q2</t>
        </is>
      </c>
      <c r="B22" t="inlineStr">
        <is>
          <t>D4</t>
        </is>
      </c>
      <c r="C22" t="inlineStr">
        <is>
          <t>Modo agente para trabalho multi-file</t>
        </is>
      </c>
      <c r="D22" s="3">
        <f>IF(COUNT(Answers!D22:Q22)=0,"",AVERAGE(Answers!D22:Q22))</f>
        <v/>
      </c>
      <c r="E22">
        <f>IF(D22="","",IF(ROUND(D22,9)&lt;0.8,"L0",IF(ROUND(D22,9)&lt;1.6,"L1",IF(ROUND(D22,9)&lt;2.4,"L2",IF(ROUND(D22,9)&lt;3.2,"L3","L4")))))</f>
        <v/>
      </c>
      <c r="F22">
        <f>COUNT(Answers!D22:Q22)</f>
        <v/>
      </c>
      <c r="G22">
        <f>COUNTIF(Answers!D22:Q22,"NA")</f>
        <v/>
      </c>
      <c r="H22" s="3" t="n">
        <v>2.643</v>
      </c>
    </row>
    <row r="23">
      <c r="A23" t="inlineStr">
        <is>
          <t>D4-Q3</t>
        </is>
      </c>
      <c r="B23" t="inlineStr">
        <is>
          <t>D4</t>
        </is>
      </c>
      <c r="C23" t="inlineStr">
        <is>
          <t>Delegação a coding agents</t>
        </is>
      </c>
      <c r="D23" s="3">
        <f>IF(COUNT(Answers!D23:Q23)=0,"",AVERAGE(Answers!D23:Q23))</f>
        <v/>
      </c>
      <c r="E23">
        <f>IF(D23="","",IF(ROUND(D23,9)&lt;0.8,"L0",IF(ROUND(D23,9)&lt;1.6,"L1",IF(ROUND(D23,9)&lt;2.4,"L2",IF(ROUND(D23,9)&lt;3.2,"L3","L4")))))</f>
        <v/>
      </c>
      <c r="F23">
        <f>COUNT(Answers!D23:Q23)</f>
        <v/>
      </c>
      <c r="G23">
        <f>COUNTIF(Answers!D23:Q23,"NA")</f>
        <v/>
      </c>
      <c r="H23" s="3" t="n">
        <v>2.667</v>
      </c>
    </row>
    <row r="24">
      <c r="A24" t="inlineStr">
        <is>
          <t>D4-Q4</t>
        </is>
      </c>
      <c r="B24" t="inlineStr">
        <is>
          <t>D4</t>
        </is>
      </c>
      <c r="C24" t="inlineStr">
        <is>
          <t>Instruções de repositório</t>
        </is>
      </c>
      <c r="D24" s="3">
        <f>IF(COUNT(Answers!D24:Q24)=0,"",AVERAGE(Answers!D24:Q24))</f>
        <v/>
      </c>
      <c r="E24">
        <f>IF(D24="","",IF(ROUND(D24,9)&lt;0.8,"L0",IF(ROUND(D24,9)&lt;1.6,"L1",IF(ROUND(D24,9)&lt;2.4,"L2",IF(ROUND(D24,9)&lt;3.2,"L3","L4")))))</f>
        <v/>
      </c>
      <c r="F24">
        <f>COUNT(Answers!D24:Q24)</f>
        <v/>
      </c>
      <c r="G24">
        <f>COUNTIF(Answers!D24:Q24,"NA")</f>
        <v/>
      </c>
      <c r="H24" s="3" t="n">
        <v>2.5</v>
      </c>
    </row>
    <row r="25">
      <c r="A25" t="inlineStr">
        <is>
          <t>D4-Q5</t>
        </is>
      </c>
      <c r="B25" t="inlineStr">
        <is>
          <t>D4</t>
        </is>
      </c>
      <c r="C25" t="inlineStr">
        <is>
          <t>Prompts, agentes e skills reutilizáveis</t>
        </is>
      </c>
      <c r="D25" s="3">
        <f>IF(COUNT(Answers!D25:Q25)=0,"",AVERAGE(Answers!D25:Q25))</f>
        <v/>
      </c>
      <c r="E25">
        <f>IF(D25="","",IF(ROUND(D25,9)&lt;0.8,"L0",IF(ROUND(D25,9)&lt;1.6,"L1",IF(ROUND(D25,9)&lt;2.4,"L2",IF(ROUND(D25,9)&lt;3.2,"L3","L4")))))</f>
        <v/>
      </c>
      <c r="F25">
        <f>COUNT(Answers!D25:Q25)</f>
        <v/>
      </c>
      <c r="G25">
        <f>COUNTIF(Answers!D25:Q25,"NA")</f>
        <v/>
      </c>
      <c r="H25" s="3" t="n">
        <v>2.786</v>
      </c>
    </row>
    <row r="26">
      <c r="A26" t="inlineStr">
        <is>
          <t>D4-Q6</t>
        </is>
      </c>
      <c r="B26" t="inlineStr">
        <is>
          <t>D4</t>
        </is>
      </c>
      <c r="C26" t="inlineStr">
        <is>
          <t>Governança de MCP servers</t>
        </is>
      </c>
      <c r="D26" s="3">
        <f>IF(COUNT(Answers!D26:Q26)=0,"",AVERAGE(Answers!D26:Q26))</f>
        <v/>
      </c>
      <c r="E26">
        <f>IF(D26="","",IF(ROUND(D26,9)&lt;0.8,"L0",IF(ROUND(D26,9)&lt;1.6,"L1",IF(ROUND(D26,9)&lt;2.4,"L2",IF(ROUND(D26,9)&lt;3.2,"L3","L4")))))</f>
        <v/>
      </c>
      <c r="F26">
        <f>COUNT(Answers!D26:Q26)</f>
        <v/>
      </c>
      <c r="G26">
        <f>COUNTIF(Answers!D26:Q26,"NA")</f>
        <v/>
      </c>
      <c r="H26" s="3" t="n">
        <v>2.786</v>
      </c>
    </row>
    <row r="27">
      <c r="A27" t="inlineStr">
        <is>
          <t>D4-Q7</t>
        </is>
      </c>
      <c r="B27" t="inlineStr">
        <is>
          <t>D4</t>
        </is>
      </c>
      <c r="C27" t="inlineStr">
        <is>
          <t>Acesso de IA ao conhecimento interno</t>
        </is>
      </c>
      <c r="D27" s="3">
        <f>IF(COUNT(Answers!D27:Q27)=0,"",AVERAGE(Answers!D27:Q27))</f>
        <v/>
      </c>
      <c r="E27">
        <f>IF(D27="","",IF(ROUND(D27,9)&lt;0.8,"L0",IF(ROUND(D27,9)&lt;1.6,"L1",IF(ROUND(D27,9)&lt;2.4,"L2",IF(ROUND(D27,9)&lt;3.2,"L3","L4")))))</f>
        <v/>
      </c>
      <c r="F27">
        <f>COUNT(Answers!D27:Q27)</f>
        <v/>
      </c>
      <c r="G27">
        <f>COUNTIF(Answers!D27:Q27,"NA")</f>
        <v/>
      </c>
      <c r="H27" s="3" t="n">
        <v>3.083</v>
      </c>
    </row>
    <row r="28">
      <c r="A28" t="inlineStr">
        <is>
          <t>D4-Q8</t>
        </is>
      </c>
      <c r="B28" t="inlineStr">
        <is>
          <t>D4</t>
        </is>
      </c>
      <c r="C28" t="inlineStr">
        <is>
          <t>Seleção e roteamento de modelos</t>
        </is>
      </c>
      <c r="D28" s="3">
        <f>IF(COUNT(Answers!D28:Q28)=0,"",AVERAGE(Answers!D28:Q28))</f>
        <v/>
      </c>
      <c r="E28">
        <f>IF(D28="","",IF(ROUND(D28,9)&lt;0.8,"L0",IF(ROUND(D28,9)&lt;1.6,"L1",IF(ROUND(D28,9)&lt;2.4,"L2",IF(ROUND(D28,9)&lt;3.2,"L3","L4")))))</f>
        <v/>
      </c>
      <c r="F28">
        <f>COUNT(Answers!D28:Q28)</f>
        <v/>
      </c>
      <c r="G28">
        <f>COUNTIF(Answers!D28:Q28,"NA")</f>
        <v/>
      </c>
      <c r="H28" s="3" t="n">
        <v>2.692</v>
      </c>
    </row>
    <row r="29">
      <c r="A29" t="inlineStr">
        <is>
          <t>D5-Q1</t>
        </is>
      </c>
      <c r="B29" t="inlineStr">
        <is>
          <t>D5</t>
        </is>
      </c>
      <c r="C29" t="inlineStr">
        <is>
          <t>AI-assisted code review</t>
        </is>
      </c>
      <c r="D29" s="3">
        <f>IF(COUNT(Answers!D29:Q29)=0,"",AVERAGE(Answers!D29:Q29))</f>
        <v/>
      </c>
      <c r="E29">
        <f>IF(D29="","",IF(ROUND(D29,9)&lt;0.8,"L0",IF(ROUND(D29,9)&lt;1.6,"L1",IF(ROUND(D29,9)&lt;2.4,"L2",IF(ROUND(D29,9)&lt;3.2,"L3","L4")))))</f>
        <v/>
      </c>
      <c r="F29">
        <f>COUNT(Answers!D29:Q29)</f>
        <v/>
      </c>
      <c r="G29">
        <f>COUNTIF(Answers!D29:Q29,"NA")</f>
        <v/>
      </c>
      <c r="H29" s="3" t="n">
        <v>2.071</v>
      </c>
    </row>
    <row r="30">
      <c r="A30" t="inlineStr">
        <is>
          <t>D5-Q2</t>
        </is>
      </c>
      <c r="B30" t="inlineStr">
        <is>
          <t>D5</t>
        </is>
      </c>
      <c r="C30" t="inlineStr">
        <is>
          <t>Human-in-the-loop para mudanças de agentes</t>
        </is>
      </c>
      <c r="D30" s="3">
        <f>IF(COUNT(Answers!D30:Q30)=0,"",AVERAGE(Answers!D30:Q30))</f>
        <v/>
      </c>
      <c r="E30">
        <f>IF(D30="","",IF(ROUND(D30,9)&lt;0.8,"L0",IF(ROUND(D30,9)&lt;1.6,"L1",IF(ROUND(D30,9)&lt;2.4,"L2",IF(ROUND(D30,9)&lt;3.2,"L3","L4")))))</f>
        <v/>
      </c>
      <c r="F30">
        <f>COUNT(Answers!D30:Q30)</f>
        <v/>
      </c>
      <c r="G30">
        <f>COUNTIF(Answers!D30:Q30,"NA")</f>
        <v/>
      </c>
      <c r="H30" s="3" t="n">
        <v>2.071</v>
      </c>
    </row>
    <row r="31">
      <c r="A31" t="inlineStr">
        <is>
          <t>D5-Q3</t>
        </is>
      </c>
      <c r="B31" t="inlineStr">
        <is>
          <t>D5</t>
        </is>
      </c>
      <c r="C31" t="inlineStr">
        <is>
          <t>Mesmos quality gates para code de IA e humano</t>
        </is>
      </c>
      <c r="D31" s="3">
        <f>IF(COUNT(Answers!D31:Q31)=0,"",AVERAGE(Answers!D31:Q31))</f>
        <v/>
      </c>
      <c r="E31">
        <f>IF(D31="","",IF(ROUND(D31,9)&lt;0.8,"L0",IF(ROUND(D31,9)&lt;1.6,"L1",IF(ROUND(D31,9)&lt;2.4,"L2",IF(ROUND(D31,9)&lt;3.2,"L3","L4")))))</f>
        <v/>
      </c>
      <c r="F31">
        <f>COUNT(Answers!D31:Q31)</f>
        <v/>
      </c>
      <c r="G31">
        <f>COUNTIF(Answers!D31:Q31,"NA")</f>
        <v/>
      </c>
      <c r="H31" s="3" t="n">
        <v>2</v>
      </c>
    </row>
    <row r="32">
      <c r="A32" t="inlineStr">
        <is>
          <t>D5-Q4</t>
        </is>
      </c>
      <c r="B32" t="inlineStr">
        <is>
          <t>D5</t>
        </is>
      </c>
      <c r="C32" t="inlineStr">
        <is>
          <t>Lotes pequenos</t>
        </is>
      </c>
      <c r="D32" s="3">
        <f>IF(COUNT(Answers!D32:Q32)=0,"",AVERAGE(Answers!D32:Q32))</f>
        <v/>
      </c>
      <c r="E32">
        <f>IF(D32="","",IF(ROUND(D32,9)&lt;0.8,"L0",IF(ROUND(D32,9)&lt;1.6,"L1",IF(ROUND(D32,9)&lt;2.4,"L2",IF(ROUND(D32,9)&lt;3.2,"L3","L4")))))</f>
        <v/>
      </c>
      <c r="F32">
        <f>COUNT(Answers!D32:Q32)</f>
        <v/>
      </c>
      <c r="G32">
        <f>COUNTIF(Answers!D32:Q32,"NA")</f>
        <v/>
      </c>
      <c r="H32" s="3" t="n">
        <v>2.167</v>
      </c>
    </row>
    <row r="33">
      <c r="A33" t="inlineStr">
        <is>
          <t>D5-Q5</t>
        </is>
      </c>
      <c r="B33" t="inlineStr">
        <is>
          <t>D5</t>
        </is>
      </c>
      <c r="C33" t="inlineStr">
        <is>
          <t>Testes assistidos por IA</t>
        </is>
      </c>
      <c r="D33" s="3">
        <f>IF(COUNT(Answers!D33:Q33)=0,"",AVERAGE(Answers!D33:Q33))</f>
        <v/>
      </c>
      <c r="E33">
        <f>IF(D33="","",IF(ROUND(D33,9)&lt;0.8,"L0",IF(ROUND(D33,9)&lt;1.6,"L1",IF(ROUND(D33,9)&lt;2.4,"L2",IF(ROUND(D33,9)&lt;3.2,"L3","L4")))))</f>
        <v/>
      </c>
      <c r="F33">
        <f>COUNT(Answers!D33:Q33)</f>
        <v/>
      </c>
      <c r="G33">
        <f>COUNTIF(Answers!D33:Q33,"NA")</f>
        <v/>
      </c>
      <c r="H33" s="3" t="n">
        <v>2.308</v>
      </c>
    </row>
    <row r="34">
      <c r="A34" t="inlineStr">
        <is>
          <t>D5-Q6</t>
        </is>
      </c>
      <c r="B34" t="inlineStr">
        <is>
          <t>D5</t>
        </is>
      </c>
      <c r="C34" t="inlineStr">
        <is>
          <t>Cultura de verificação e confiança calibrada</t>
        </is>
      </c>
      <c r="D34" s="3">
        <f>IF(COUNT(Answers!D34:Q34)=0,"",AVERAGE(Answers!D34:Q34))</f>
        <v/>
      </c>
      <c r="E34">
        <f>IF(D34="","",IF(ROUND(D34,9)&lt;0.8,"L0",IF(ROUND(D34,9)&lt;1.6,"L1",IF(ROUND(D34,9)&lt;2.4,"L2",IF(ROUND(D34,9)&lt;3.2,"L3","L4")))))</f>
        <v/>
      </c>
      <c r="F34">
        <f>COUNT(Answers!D34:Q34)</f>
        <v/>
      </c>
      <c r="G34">
        <f>COUNTIF(Answers!D34:Q34,"NA")</f>
        <v/>
      </c>
      <c r="H34" s="3" t="n">
        <v>1.769</v>
      </c>
    </row>
    <row r="35">
      <c r="A35" t="inlineStr">
        <is>
          <t>D5-Q7</t>
        </is>
      </c>
      <c r="B35" t="inlineStr">
        <is>
          <t>D5</t>
        </is>
      </c>
      <c r="C35" t="inlineStr">
        <is>
          <t>Saúde do code gerado por IA</t>
        </is>
      </c>
      <c r="D35" s="3">
        <f>IF(COUNT(Answers!D35:Q35)=0,"",AVERAGE(Answers!D35:Q35))</f>
        <v/>
      </c>
      <c r="E35">
        <f>IF(D35="","",IF(ROUND(D35,9)&lt;0.8,"L0",IF(ROUND(D35,9)&lt;1.6,"L1",IF(ROUND(D35,9)&lt;2.4,"L2",IF(ROUND(D35,9)&lt;3.2,"L3","L4")))))</f>
        <v/>
      </c>
      <c r="F35">
        <f>COUNT(Answers!D35:Q35)</f>
        <v/>
      </c>
      <c r="G35">
        <f>COUNTIF(Answers!D35:Q35,"NA")</f>
        <v/>
      </c>
      <c r="H35" s="3" t="n">
        <v>2.286</v>
      </c>
    </row>
    <row r="36">
      <c r="A36" t="inlineStr">
        <is>
          <t>D6-Q1</t>
        </is>
      </c>
      <c r="B36" t="inlineStr">
        <is>
          <t>D6</t>
        </is>
      </c>
      <c r="C36" t="inlineStr">
        <is>
          <t>Scanning de base em todo repositório</t>
        </is>
      </c>
      <c r="D36" s="3">
        <f>IF(COUNT(Answers!D36:Q36)=0,"",AVERAGE(Answers!D36:Q36))</f>
        <v/>
      </c>
      <c r="E36">
        <f>IF(D36="","",IF(ROUND(D36,9)&lt;0.8,"L0",IF(ROUND(D36,9)&lt;1.6,"L1",IF(ROUND(D36,9)&lt;2.4,"L2",IF(ROUND(D36,9)&lt;3.2,"L3","L4")))))</f>
        <v/>
      </c>
      <c r="F36">
        <f>COUNT(Answers!D36:Q36)</f>
        <v/>
      </c>
      <c r="G36">
        <f>COUNTIF(Answers!D36:Q36,"NA")</f>
        <v/>
      </c>
      <c r="H36" s="3" t="n">
        <v>2</v>
      </c>
    </row>
    <row r="37">
      <c r="A37" t="inlineStr">
        <is>
          <t>D6-Q2</t>
        </is>
      </c>
      <c r="B37" t="inlineStr">
        <is>
          <t>D6</t>
        </is>
      </c>
      <c r="C37" t="inlineStr">
        <is>
          <t>Remediação assistida por IA</t>
        </is>
      </c>
      <c r="D37" s="3">
        <f>IF(COUNT(Answers!D37:Q37)=0,"",AVERAGE(Answers!D37:Q37))</f>
        <v/>
      </c>
      <c r="E37">
        <f>IF(D37="","",IF(ROUND(D37,9)&lt;0.8,"L0",IF(ROUND(D37,9)&lt;1.6,"L1",IF(ROUND(D37,9)&lt;2.4,"L2",IF(ROUND(D37,9)&lt;3.2,"L3","L4")))))</f>
        <v/>
      </c>
      <c r="F37">
        <f>COUNT(Answers!D37:Q37)</f>
        <v/>
      </c>
      <c r="G37">
        <f>COUNTIF(Answers!D37:Q37,"NA")</f>
        <v/>
      </c>
      <c r="H37" s="3" t="n">
        <v>2.091</v>
      </c>
    </row>
    <row r="38">
      <c r="A38" t="inlineStr">
        <is>
          <t>D6-Q3</t>
        </is>
      </c>
      <c r="B38" t="inlineStr">
        <is>
          <t>D6</t>
        </is>
      </c>
      <c r="C38" t="inlineStr">
        <is>
          <t>Defesas contra prompt injection para agentes</t>
        </is>
      </c>
      <c r="D38" s="3">
        <f>IF(COUNT(Answers!D38:Q38)=0,"",AVERAGE(Answers!D38:Q38))</f>
        <v/>
      </c>
      <c r="E38">
        <f>IF(D38="","",IF(ROUND(D38,9)&lt;0.8,"L0",IF(ROUND(D38,9)&lt;1.6,"L1",IF(ROUND(D38,9)&lt;2.4,"L2",IF(ROUND(D38,9)&lt;3.2,"L3","L4")))))</f>
        <v/>
      </c>
      <c r="F38">
        <f>COUNT(Answers!D38:Q38)</f>
        <v/>
      </c>
      <c r="G38">
        <f>COUNTIF(Answers!D38:Q38,"NA")</f>
        <v/>
      </c>
      <c r="H38" s="3" t="n">
        <v>2.25</v>
      </c>
    </row>
    <row r="39">
      <c r="A39" t="inlineStr">
        <is>
          <t>D6-Q4</t>
        </is>
      </c>
      <c r="B39" t="inlineStr">
        <is>
          <t>D6</t>
        </is>
      </c>
      <c r="C39" t="inlineStr">
        <is>
          <t>Least privilege para agentes</t>
        </is>
      </c>
      <c r="D39" s="3">
        <f>IF(COUNT(Answers!D39:Q39)=0,"",AVERAGE(Answers!D39:Q39))</f>
        <v/>
      </c>
      <c r="E39">
        <f>IF(D39="","",IF(ROUND(D39,9)&lt;0.8,"L0",IF(ROUND(D39,9)&lt;1.6,"L1",IF(ROUND(D39,9)&lt;2.4,"L2",IF(ROUND(D39,9)&lt;3.2,"L3","L4")))))</f>
        <v/>
      </c>
      <c r="F39">
        <f>COUNT(Answers!D39:Q39)</f>
        <v/>
      </c>
      <c r="G39">
        <f>COUNTIF(Answers!D39:Q39,"NA")</f>
        <v/>
      </c>
      <c r="H39" s="3" t="n">
        <v>1.714</v>
      </c>
    </row>
    <row r="40">
      <c r="A40" t="inlineStr">
        <is>
          <t>D6-Q5</t>
        </is>
      </c>
      <c r="B40" t="inlineStr">
        <is>
          <t>D6</t>
        </is>
      </c>
      <c r="C40" t="inlineStr">
        <is>
          <t>AI supply chain</t>
        </is>
      </c>
      <c r="D40" s="3">
        <f>IF(COUNT(Answers!D40:Q40)=0,"",AVERAGE(Answers!D40:Q40))</f>
        <v/>
      </c>
      <c r="E40">
        <f>IF(D40="","",IF(ROUND(D40,9)&lt;0.8,"L0",IF(ROUND(D40,9)&lt;1.6,"L1",IF(ROUND(D40,9)&lt;2.4,"L2",IF(ROUND(D40,9)&lt;3.2,"L3","L4")))))</f>
        <v/>
      </c>
      <c r="F40">
        <f>COUNT(Answers!D40:Q40)</f>
        <v/>
      </c>
      <c r="G40">
        <f>COUNTIF(Answers!D40:Q40,"NA")</f>
        <v/>
      </c>
      <c r="H40" s="3" t="n">
        <v>1.5</v>
      </c>
    </row>
    <row r="41">
      <c r="A41" t="inlineStr">
        <is>
          <t>D6-Q6</t>
        </is>
      </c>
      <c r="B41" t="inlineStr">
        <is>
          <t>D6</t>
        </is>
      </c>
      <c r="C41" t="inlineStr">
        <is>
          <t>Threat modeling para features e agentes de IA</t>
        </is>
      </c>
      <c r="D41" s="3">
        <f>IF(COUNT(Answers!D41:Q41)=0,"",AVERAGE(Answers!D41:Q41))</f>
        <v/>
      </c>
      <c r="E41">
        <f>IF(D41="","",IF(ROUND(D41,9)&lt;0.8,"L0",IF(ROUND(D41,9)&lt;1.6,"L1",IF(ROUND(D41,9)&lt;2.4,"L2",IF(ROUND(D41,9)&lt;3.2,"L3","L4")))))</f>
        <v/>
      </c>
      <c r="F41">
        <f>COUNT(Answers!D41:Q41)</f>
        <v/>
      </c>
      <c r="G41">
        <f>COUNTIF(Answers!D41:Q41,"NA")</f>
        <v/>
      </c>
      <c r="H41" s="3" t="n">
        <v>1.625</v>
      </c>
    </row>
    <row r="42">
      <c r="A42" t="inlineStr">
        <is>
          <t>D6-Q7</t>
        </is>
      </c>
      <c r="B42" t="inlineStr">
        <is>
          <t>D6</t>
        </is>
      </c>
      <c r="C42" t="inlineStr">
        <is>
          <t>Trilha de auditoria para ações de agentes</t>
        </is>
      </c>
      <c r="D42" s="3">
        <f>IF(COUNT(Answers!D42:Q42)=0,"",AVERAGE(Answers!D42:Q42))</f>
        <v/>
      </c>
      <c r="E42">
        <f>IF(D42="","",IF(ROUND(D42,9)&lt;0.8,"L0",IF(ROUND(D42,9)&lt;1.6,"L1",IF(ROUND(D42,9)&lt;2.4,"L2",IF(ROUND(D42,9)&lt;3.2,"L3","L4")))))</f>
        <v/>
      </c>
      <c r="F42">
        <f>COUNT(Answers!D42:Q42)</f>
        <v/>
      </c>
      <c r="G42">
        <f>COUNTIF(Answers!D42:Q42,"NA")</f>
        <v/>
      </c>
      <c r="H42" s="3" t="n">
        <v>2.083</v>
      </c>
    </row>
    <row r="43">
      <c r="A43" t="inlineStr">
        <is>
          <t>D7-Q1</t>
        </is>
      </c>
      <c r="B43" t="inlineStr">
        <is>
          <t>D7</t>
        </is>
      </c>
      <c r="C43" t="inlineStr">
        <is>
          <t>IA em pipelines CI/CD</t>
        </is>
      </c>
      <c r="D43" s="3">
        <f>IF(COUNT(Answers!D43:Q43)=0,"",AVERAGE(Answers!D43:Q43))</f>
        <v/>
      </c>
      <c r="E43">
        <f>IF(D43="","",IF(ROUND(D43,9)&lt;0.8,"L0",IF(ROUND(D43,9)&lt;1.6,"L1",IF(ROUND(D43,9)&lt;2.4,"L2",IF(ROUND(D43,9)&lt;3.2,"L3","L4")))))</f>
        <v/>
      </c>
      <c r="F43">
        <f>COUNT(Answers!D43:Q43)</f>
        <v/>
      </c>
      <c r="G43">
        <f>COUNTIF(Answers!D43:Q43,"NA")</f>
        <v/>
      </c>
      <c r="H43" s="3" t="n">
        <v>1.692</v>
      </c>
    </row>
    <row r="44">
      <c r="A44" t="inlineStr">
        <is>
          <t>D7-Q2</t>
        </is>
      </c>
      <c r="B44" t="inlineStr">
        <is>
          <t>D7</t>
        </is>
      </c>
      <c r="C44" t="inlineStr">
        <is>
          <t>Entrega progressiva e rollback</t>
        </is>
      </c>
      <c r="D44" s="3">
        <f>IF(COUNT(Answers!D44:Q44)=0,"",AVERAGE(Answers!D44:Q44))</f>
        <v/>
      </c>
      <c r="E44">
        <f>IF(D44="","",IF(ROUND(D44,9)&lt;0.8,"L0",IF(ROUND(D44,9)&lt;1.6,"L1",IF(ROUND(D44,9)&lt;2.4,"L2",IF(ROUND(D44,9)&lt;3.2,"L3","L4")))))</f>
        <v/>
      </c>
      <c r="F44">
        <f>COUNT(Answers!D44:Q44)</f>
        <v/>
      </c>
      <c r="G44">
        <f>COUNTIF(Answers!D44:Q44,"NA")</f>
        <v/>
      </c>
      <c r="H44" s="3" t="n">
        <v>1.833</v>
      </c>
    </row>
    <row r="45">
      <c r="A45" t="inlineStr">
        <is>
          <t>D7-Q3</t>
        </is>
      </c>
      <c r="B45" t="inlineStr">
        <is>
          <t>D7</t>
        </is>
      </c>
      <c r="C45" t="inlineStr">
        <is>
          <t>Resposta a incidentes assistida por IA</t>
        </is>
      </c>
      <c r="D45" s="3">
        <f>IF(COUNT(Answers!D45:Q45)=0,"",AVERAGE(Answers!D45:Q45))</f>
        <v/>
      </c>
      <c r="E45">
        <f>IF(D45="","",IF(ROUND(D45,9)&lt;0.8,"L0",IF(ROUND(D45,9)&lt;1.6,"L1",IF(ROUND(D45,9)&lt;2.4,"L2",IF(ROUND(D45,9)&lt;3.2,"L3","L4")))))</f>
        <v/>
      </c>
      <c r="F45">
        <f>COUNT(Answers!D45:Q45)</f>
        <v/>
      </c>
      <c r="G45">
        <f>COUNTIF(Answers!D45:Q45,"NA")</f>
        <v/>
      </c>
      <c r="H45" s="3" t="n">
        <v>1.714</v>
      </c>
    </row>
    <row r="46">
      <c r="A46" t="inlineStr">
        <is>
          <t>D7-Q4</t>
        </is>
      </c>
      <c r="B46" t="inlineStr">
        <is>
          <t>D7</t>
        </is>
      </c>
      <c r="C46" t="inlineStr">
        <is>
          <t>Observabilidade de agentes</t>
        </is>
      </c>
      <c r="D46" s="3">
        <f>IF(COUNT(Answers!D46:Q46)=0,"",AVERAGE(Answers!D46:Q46))</f>
        <v/>
      </c>
      <c r="E46">
        <f>IF(D46="","",IF(ROUND(D46,9)&lt;0.8,"L0",IF(ROUND(D46,9)&lt;1.6,"L1",IF(ROUND(D46,9)&lt;2.4,"L2",IF(ROUND(D46,9)&lt;3.2,"L3","L4")))))</f>
        <v/>
      </c>
      <c r="F46">
        <f>COUNT(Answers!D46:Q46)</f>
        <v/>
      </c>
      <c r="G46">
        <f>COUNTIF(Answers!D46:Q46,"NA")</f>
        <v/>
      </c>
      <c r="H46" s="3" t="n">
        <v>1.571</v>
      </c>
    </row>
    <row r="47">
      <c r="A47" t="inlineStr">
        <is>
          <t>D7-Q5</t>
        </is>
      </c>
      <c r="B47" t="inlineStr">
        <is>
          <t>D7</t>
        </is>
      </c>
      <c r="C47" t="inlineStr">
        <is>
          <t>Infrastructure as code com guardrails</t>
        </is>
      </c>
      <c r="D47" s="3">
        <f>IF(COUNT(Answers!D47:Q47)=0,"",AVERAGE(Answers!D47:Q47))</f>
        <v/>
      </c>
      <c r="E47">
        <f>IF(D47="","",IF(ROUND(D47,9)&lt;0.8,"L0",IF(ROUND(D47,9)&lt;1.6,"L1",IF(ROUND(D47,9)&lt;2.4,"L2",IF(ROUND(D47,9)&lt;3.2,"L3","L4")))))</f>
        <v/>
      </c>
      <c r="F47">
        <f>COUNT(Answers!D47:Q47)</f>
        <v/>
      </c>
      <c r="G47">
        <f>COUNTIF(Answers!D47:Q47,"NA")</f>
        <v/>
      </c>
      <c r="H47" s="3" t="n">
        <v>1.846</v>
      </c>
    </row>
    <row r="48">
      <c r="A48" t="inlineStr">
        <is>
          <t>D7-Q6</t>
        </is>
      </c>
      <c r="B48" t="inlineStr">
        <is>
          <t>D7</t>
        </is>
      </c>
      <c r="C48" t="inlineStr">
        <is>
          <t>Automação operacional orientada por agentes</t>
        </is>
      </c>
      <c r="D48" s="3">
        <f>IF(COUNT(Answers!D48:Q48)=0,"",AVERAGE(Answers!D48:Q48))</f>
        <v/>
      </c>
      <c r="E48">
        <f>IF(D48="","",IF(ROUND(D48,9)&lt;0.8,"L0",IF(ROUND(D48,9)&lt;1.6,"L1",IF(ROUND(D48,9)&lt;2.4,"L2",IF(ROUND(D48,9)&lt;3.2,"L3","L4")))))</f>
        <v/>
      </c>
      <c r="F48">
        <f>COUNT(Answers!D48:Q48)</f>
        <v/>
      </c>
      <c r="G48">
        <f>COUNTIF(Answers!D48:Q48,"NA")</f>
        <v/>
      </c>
      <c r="H48" s="3" t="n">
        <v>1.857</v>
      </c>
    </row>
    <row r="49">
      <c r="A49" t="inlineStr">
        <is>
          <t>D8-Q1</t>
        </is>
      </c>
      <c r="B49" t="inlineStr">
        <is>
          <t>D8</t>
        </is>
      </c>
      <c r="C49" t="inlineStr">
        <is>
          <t>Controle de versão para tudo</t>
        </is>
      </c>
      <c r="D49" s="3">
        <f>IF(COUNT(Answers!D49:Q49)=0,"",AVERAGE(Answers!D49:Q49))</f>
        <v/>
      </c>
      <c r="E49">
        <f>IF(D49="","",IF(ROUND(D49,9)&lt;0.8,"L0",IF(ROUND(D49,9)&lt;1.6,"L1",IF(ROUND(D49,9)&lt;2.4,"L2",IF(ROUND(D49,9)&lt;3.2,"L3","L4")))))</f>
        <v/>
      </c>
      <c r="F49">
        <f>COUNT(Answers!D49:Q49)</f>
        <v/>
      </c>
      <c r="G49">
        <f>COUNTIF(Answers!D49:Q49,"NA")</f>
        <v/>
      </c>
      <c r="H49" s="3" t="n">
        <v>1.071</v>
      </c>
    </row>
    <row r="50">
      <c r="A50" t="inlineStr">
        <is>
          <t>D8-Q2</t>
        </is>
      </c>
      <c r="B50" t="inlineStr">
        <is>
          <t>D8</t>
        </is>
      </c>
      <c r="C50" t="inlineStr">
        <is>
          <t>Frequência de commit e rollback rápido</t>
        </is>
      </c>
      <c r="D50" s="3">
        <f>IF(COUNT(Answers!D50:Q50)=0,"",AVERAGE(Answers!D50:Q50))</f>
        <v/>
      </c>
      <c r="E50">
        <f>IF(D50="","",IF(ROUND(D50,9)&lt;0.8,"L0",IF(ROUND(D50,9)&lt;1.6,"L1",IF(ROUND(D50,9)&lt;2.4,"L2",IF(ROUND(D50,9)&lt;3.2,"L3","L4")))))</f>
        <v/>
      </c>
      <c r="F50">
        <f>COUNT(Answers!D50:Q50)</f>
        <v/>
      </c>
      <c r="G50">
        <f>COUNTIF(Answers!D50:Q50,"NA")</f>
        <v/>
      </c>
      <c r="H50" s="3" t="n">
        <v>1.231</v>
      </c>
    </row>
    <row r="51">
      <c r="A51" t="inlineStr">
        <is>
          <t>D8-Q3</t>
        </is>
      </c>
      <c r="B51" t="inlineStr">
        <is>
          <t>D8</t>
        </is>
      </c>
      <c r="C51" t="inlineStr">
        <is>
          <t>Plataforma interna de qualidade</t>
        </is>
      </c>
      <c r="D51" s="3">
        <f>IF(COUNT(Answers!D51:Q51)=0,"",AVERAGE(Answers!D51:Q51))</f>
        <v/>
      </c>
      <c r="E51">
        <f>IF(D51="","",IF(ROUND(D51,9)&lt;0.8,"L0",IF(ROUND(D51,9)&lt;1.6,"L1",IF(ROUND(D51,9)&lt;2.4,"L2",IF(ROUND(D51,9)&lt;3.2,"L3","L4")))))</f>
        <v/>
      </c>
      <c r="F51">
        <f>COUNT(Answers!D51:Q51)</f>
        <v/>
      </c>
      <c r="G51">
        <f>COUNTIF(Answers!D51:Q51,"NA")</f>
        <v/>
      </c>
      <c r="H51" s="3" t="n">
        <v>1.286</v>
      </c>
    </row>
    <row r="52">
      <c r="A52" t="inlineStr">
        <is>
          <t>D8-Q4</t>
        </is>
      </c>
      <c r="B52" t="inlineStr">
        <is>
          <t>D8</t>
        </is>
      </c>
      <c r="C52" t="inlineStr">
        <is>
          <t>Ecossistema de dados saudável</t>
        </is>
      </c>
      <c r="D52" s="3">
        <f>IF(COUNT(Answers!D52:Q52)=0,"",AVERAGE(Answers!D52:Q52))</f>
        <v/>
      </c>
      <c r="E52">
        <f>IF(D52="","",IF(ROUND(D52,9)&lt;0.8,"L0",IF(ROUND(D52,9)&lt;1.6,"L1",IF(ROUND(D52,9)&lt;2.4,"L2",IF(ROUND(D52,9)&lt;3.2,"L3","L4")))))</f>
        <v/>
      </c>
      <c r="F52">
        <f>COUNT(Answers!D52:Q52)</f>
        <v/>
      </c>
      <c r="G52">
        <f>COUNTIF(Answers!D52:Q52,"NA")</f>
        <v/>
      </c>
      <c r="H52" s="3" t="n">
        <v>0.923</v>
      </c>
    </row>
    <row r="53">
      <c r="A53" t="inlineStr">
        <is>
          <t>D8-Q5</t>
        </is>
      </c>
      <c r="B53" t="inlineStr">
        <is>
          <t>D8</t>
        </is>
      </c>
      <c r="C53" t="inlineStr">
        <is>
          <t>Ambientes reproduzíveis para humanos e agentes</t>
        </is>
      </c>
      <c r="D53" s="3">
        <f>IF(COUNT(Answers!D53:Q53)=0,"",AVERAGE(Answers!D53:Q53))</f>
        <v/>
      </c>
      <c r="E53">
        <f>IF(D53="","",IF(ROUND(D53,9)&lt;0.8,"L0",IF(ROUND(D53,9)&lt;1.6,"L1",IF(ROUND(D53,9)&lt;2.4,"L2",IF(ROUND(D53,9)&lt;3.2,"L3","L4")))))</f>
        <v/>
      </c>
      <c r="F53">
        <f>COUNT(Answers!D53:Q53)</f>
        <v/>
      </c>
      <c r="G53">
        <f>COUNTIF(Answers!D53:Q53,"NA")</f>
        <v/>
      </c>
      <c r="H53" s="3" t="n">
        <v>1</v>
      </c>
    </row>
    <row r="54">
      <c r="A54" t="inlineStr">
        <is>
          <t>D8-Q6</t>
        </is>
      </c>
      <c r="B54" t="inlineStr">
        <is>
          <t>D8</t>
        </is>
      </c>
      <c r="C54" t="inlineStr">
        <is>
          <t>Documentação como contexto pronto para IA</t>
        </is>
      </c>
      <c r="D54" s="3">
        <f>IF(COUNT(Answers!D54:Q54)=0,"",AVERAGE(Answers!D54:Q54))</f>
        <v/>
      </c>
      <c r="E54">
        <f>IF(D54="","",IF(ROUND(D54,9)&lt;0.8,"L0",IF(ROUND(D54,9)&lt;1.6,"L1",IF(ROUND(D54,9)&lt;2.4,"L2",IF(ROUND(D54,9)&lt;3.2,"L3","L4")))))</f>
        <v/>
      </c>
      <c r="F54">
        <f>COUNT(Answers!D54:Q54)</f>
        <v/>
      </c>
      <c r="G54">
        <f>COUNTIF(Answers!D54:Q54,"NA")</f>
        <v/>
      </c>
      <c r="H54" s="3" t="n">
        <v>1.357</v>
      </c>
    </row>
    <row r="55">
      <c r="A55" t="inlineStr">
        <is>
          <t>D8-Q7</t>
        </is>
      </c>
      <c r="B55" t="inlineStr">
        <is>
          <t>D8</t>
        </is>
      </c>
      <c r="C55" t="inlineStr">
        <is>
          <t>Testes automatizados como sistema de controle</t>
        </is>
      </c>
      <c r="D55" s="3">
        <f>IF(COUNT(Answers!D55:Q55)=0,"",AVERAGE(Answers!D55:Q55))</f>
        <v/>
      </c>
      <c r="E55">
        <f>IF(D55="","",IF(ROUND(D55,9)&lt;0.8,"L0",IF(ROUND(D55,9)&lt;1.6,"L1",IF(ROUND(D55,9)&lt;2.4,"L2",IF(ROUND(D55,9)&lt;3.2,"L3","L4")))))</f>
        <v/>
      </c>
      <c r="F55">
        <f>COUNT(Answers!D55:Q55)</f>
        <v/>
      </c>
      <c r="G55">
        <f>COUNTIF(Answers!D55:Q55,"NA")</f>
        <v/>
      </c>
      <c r="H55" s="3" t="n">
        <v>0.75</v>
      </c>
    </row>
    <row r="56">
      <c r="A56" t="inlineStr">
        <is>
          <t>D9-Q1</t>
        </is>
      </c>
      <c r="B56" t="inlineStr">
        <is>
          <t>D9</t>
        </is>
      </c>
      <c r="C56" t="inlineStr">
        <is>
          <t>Métricas de profundidade de adoção</t>
        </is>
      </c>
      <c r="D56" s="3">
        <f>IF(COUNT(Answers!D56:Q56)=0,"",AVERAGE(Answers!D56:Q56))</f>
        <v/>
      </c>
      <c r="E56">
        <f>IF(D56="","",IF(ROUND(D56,9)&lt;0.8,"L0",IF(ROUND(D56,9)&lt;1.6,"L1",IF(ROUND(D56,9)&lt;2.4,"L2",IF(ROUND(D56,9)&lt;3.2,"L3","L4")))))</f>
        <v/>
      </c>
      <c r="F56">
        <f>COUNT(Answers!D56:Q56)</f>
        <v/>
      </c>
      <c r="G56">
        <f>COUNTIF(Answers!D56:Q56,"NA")</f>
        <v/>
      </c>
      <c r="H56" s="3" t="n">
        <v>1.786</v>
      </c>
    </row>
    <row r="57">
      <c r="A57" t="inlineStr">
        <is>
          <t>D9-Q2</t>
        </is>
      </c>
      <c r="B57" t="inlineStr">
        <is>
          <t>D9</t>
        </is>
      </c>
      <c r="C57" t="inlineStr">
        <is>
          <t>Métricas de resultado de entrega</t>
        </is>
      </c>
      <c r="D57" s="3">
        <f>IF(COUNT(Answers!D57:Q57)=0,"",AVERAGE(Answers!D57:Q57))</f>
        <v/>
      </c>
      <c r="E57">
        <f>IF(D57="","",IF(ROUND(D57,9)&lt;0.8,"L0",IF(ROUND(D57,9)&lt;1.6,"L1",IF(ROUND(D57,9)&lt;2.4,"L2",IF(ROUND(D57,9)&lt;3.2,"L3","L4")))))</f>
        <v/>
      </c>
      <c r="F57">
        <f>COUNT(Answers!D57:Q57)</f>
        <v/>
      </c>
      <c r="G57">
        <f>COUNTIF(Answers!D57:Q57,"NA")</f>
        <v/>
      </c>
      <c r="H57" s="3" t="n">
        <v>1.615</v>
      </c>
    </row>
    <row r="58">
      <c r="A58" t="inlineStr">
        <is>
          <t>D9-Q3</t>
        </is>
      </c>
      <c r="B58" t="inlineStr">
        <is>
          <t>D9</t>
        </is>
      </c>
      <c r="C58" t="inlineStr">
        <is>
          <t>Métricas de fluxo de pull request</t>
        </is>
      </c>
      <c r="D58" s="3">
        <f>IF(COUNT(Answers!D58:Q58)=0,"",AVERAGE(Answers!D58:Q58))</f>
        <v/>
      </c>
      <c r="E58">
        <f>IF(D58="","",IF(ROUND(D58,9)&lt;0.8,"L0",IF(ROUND(D58,9)&lt;1.6,"L1",IF(ROUND(D58,9)&lt;2.4,"L2",IF(ROUND(D58,9)&lt;3.2,"L3","L4")))))</f>
        <v/>
      </c>
      <c r="F58">
        <f>COUNT(Answers!D58:Q58)</f>
        <v/>
      </c>
      <c r="G58">
        <f>COUNTIF(Answers!D58:Q58,"NA")</f>
        <v/>
      </c>
      <c r="H58" s="3" t="n">
        <v>1.333</v>
      </c>
    </row>
    <row r="59">
      <c r="A59" t="inlineStr">
        <is>
          <t>D9-Q4</t>
        </is>
      </c>
      <c r="B59" t="inlineStr">
        <is>
          <t>D9</t>
        </is>
      </c>
      <c r="C59" t="inlineStr">
        <is>
          <t>Developer experience e fricção</t>
        </is>
      </c>
      <c r="D59" s="3">
        <f>IF(COUNT(Answers!D59:Q59)=0,"",AVERAGE(Answers!D59:Q59))</f>
        <v/>
      </c>
      <c r="E59">
        <f>IF(D59="","",IF(ROUND(D59,9)&lt;0.8,"L0",IF(ROUND(D59,9)&lt;1.6,"L1",IF(ROUND(D59,9)&lt;2.4,"L2",IF(ROUND(D59,9)&lt;3.2,"L3","L4")))))</f>
        <v/>
      </c>
      <c r="F59">
        <f>COUNT(Answers!D59:Q59)</f>
        <v/>
      </c>
      <c r="G59">
        <f>COUNTIF(Answers!D59:Q59,"NA")</f>
        <v/>
      </c>
      <c r="H59" s="3" t="n">
        <v>1.571</v>
      </c>
    </row>
    <row r="60">
      <c r="A60" t="inlineStr">
        <is>
          <t>D9-Q5</t>
        </is>
      </c>
      <c r="B60" t="inlineStr">
        <is>
          <t>D9</t>
        </is>
      </c>
      <c r="C60" t="inlineStr">
        <is>
          <t>Medição controlada de impacto</t>
        </is>
      </c>
      <c r="D60" s="3">
        <f>IF(COUNT(Answers!D60:Q60)=0,"",AVERAGE(Answers!D60:Q60))</f>
        <v/>
      </c>
      <c r="E60">
        <f>IF(D60="","",IF(ROUND(D60,9)&lt;0.8,"L0",IF(ROUND(D60,9)&lt;1.6,"L1",IF(ROUND(D60,9)&lt;2.4,"L2",IF(ROUND(D60,9)&lt;3.2,"L3","L4")))))</f>
        <v/>
      </c>
      <c r="F60">
        <f>COUNT(Answers!D60:Q60)</f>
        <v/>
      </c>
      <c r="G60">
        <f>COUNTIF(Answers!D60:Q60,"NA")</f>
        <v/>
      </c>
      <c r="H60" s="3" t="n">
        <v>1.643</v>
      </c>
    </row>
    <row r="61">
      <c r="A61" t="inlineStr">
        <is>
          <t>D9-Q6</t>
        </is>
      </c>
      <c r="B61" t="inlineStr">
        <is>
          <t>D9</t>
        </is>
      </c>
      <c r="C61" t="inlineStr">
        <is>
          <t>Governança de custos de IA (AI FinOps)</t>
        </is>
      </c>
      <c r="D61" s="3">
        <f>IF(COUNT(Answers!D61:Q61)=0,"",AVERAGE(Answers!D61:Q61))</f>
        <v/>
      </c>
      <c r="E61">
        <f>IF(D61="","",IF(ROUND(D61,9)&lt;0.8,"L0",IF(ROUND(D61,9)&lt;1.6,"L1",IF(ROUND(D61,9)&lt;2.4,"L2",IF(ROUND(D61,9)&lt;3.2,"L3","L4")))))</f>
        <v/>
      </c>
      <c r="F61">
        <f>COUNT(Answers!D61:Q61)</f>
        <v/>
      </c>
      <c r="G61">
        <f>COUNTIF(Answers!D61:Q61,"NA")</f>
        <v/>
      </c>
      <c r="H61" s="3" t="n">
        <v>1.786</v>
      </c>
    </row>
    <row r="62">
      <c r="A62" t="inlineStr">
        <is>
          <t>D9-Q7</t>
        </is>
      </c>
      <c r="B62" t="inlineStr">
        <is>
          <t>D9</t>
        </is>
      </c>
      <c r="C62" t="inlineStr">
        <is>
          <t>Vínculo com valor de negócio</t>
        </is>
      </c>
      <c r="D62" s="3">
        <f>IF(COUNT(Answers!D62:Q62)=0,"",AVERAGE(Answers!D62:Q62))</f>
        <v/>
      </c>
      <c r="E62">
        <f>IF(D62="","",IF(ROUND(D62,9)&lt;0.8,"L0",IF(ROUND(D62,9)&lt;1.6,"L1",IF(ROUND(D62,9)&lt;2.4,"L2",IF(ROUND(D62,9)&lt;3.2,"L3","L4")))))</f>
        <v/>
      </c>
      <c r="F62">
        <f>COUNT(Answers!D62:Q62)</f>
        <v/>
      </c>
      <c r="G62">
        <f>COUNTIF(Answers!D62:Q62,"NA")</f>
        <v/>
      </c>
      <c r="H62" s="3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3" max="3"/>
  </cols>
  <sheetData>
    <row r="1">
      <c r="A1" s="2" t="inlineStr">
        <is>
          <t>Dimension</t>
        </is>
      </c>
      <c r="B1" s="2" t="inlineStr">
        <is>
          <t>Name</t>
        </is>
      </c>
      <c r="C1" s="2" t="inlineStr">
        <is>
          <t>Weight</t>
        </is>
      </c>
      <c r="D1" s="2" t="inlineStr">
        <is>
          <t>Score</t>
        </is>
      </c>
      <c r="E1" s="2" t="inlineStr">
        <is>
          <t>Level</t>
        </is>
      </c>
      <c r="F1" s="2" t="inlineStr">
        <is>
          <t>Target</t>
        </is>
      </c>
      <c r="G1" s="2" t="inlineStr">
        <is>
          <t>Gap</t>
        </is>
      </c>
      <c r="H1" s="2" t="inlineStr">
        <is>
          <t>Priority score</t>
        </is>
      </c>
      <c r="I1" s="2" t="inlineStr">
        <is>
          <t>Priority</t>
        </is>
      </c>
      <c r="J1" s="2" t="inlineStr">
        <is>
          <t>Engine</t>
        </is>
      </c>
      <c r="K1" s="2" t="inlineStr">
        <is>
          <t>Weight × score</t>
        </is>
      </c>
      <c r="L1" s="2" t="inlineStr">
        <is>
          <t>Counted weight</t>
        </is>
      </c>
    </row>
    <row r="2">
      <c r="A2" t="inlineStr">
        <is>
          <t>D1</t>
        </is>
      </c>
      <c r="B2" t="inlineStr">
        <is>
          <t>Estratégia, política e governança de IA</t>
        </is>
      </c>
      <c r="C2" s="3" t="n">
        <v>1</v>
      </c>
      <c r="D2" s="3">
        <f>IF(COUNT(Questions!D2:D8)=0,"",AVERAGE(Questions!D2:D8))</f>
        <v/>
      </c>
      <c r="E2">
        <f>IF(D2="","",IF(ROUND(D2,9)&lt;0.8,"L0",IF(ROUND(D2,9)&lt;1.6,"L1",IF(ROUND(D2,9)&lt;2.4,"L2",IF(ROUND(D2,9)&lt;3.2,"L3","L4")))))</f>
        <v/>
      </c>
      <c r="F2" s="3" t="n">
        <v>3</v>
      </c>
      <c r="G2">
        <f>IF(D2="","",MAX(0,F2-D2))</f>
        <v/>
      </c>
      <c r="H2">
        <f>IF(G2="","",C2*G2)</f>
        <v/>
      </c>
      <c r="I2">
        <f>IF(H2="","",IF(ROUND(H2,9)&gt;=2.4,"P0",IF(ROUND(H2,9)&gt;=1.6,"P1",IF(ROUND(H2,9)&gt;=0.9,"P2","P3"))))</f>
        <v/>
      </c>
      <c r="J2" s="3" t="n">
        <v>2.817</v>
      </c>
      <c r="K2">
        <f>IF(D2="","",C2*D2)</f>
        <v/>
      </c>
      <c r="L2">
        <f>IF(D2="","",C2)</f>
        <v/>
      </c>
    </row>
    <row r="3">
      <c r="A3" t="inlineStr">
        <is>
          <t>D2</t>
        </is>
      </c>
      <c r="B3" t="inlineStr">
        <is>
          <t>Capacitação, habilidades e cultura</t>
        </is>
      </c>
      <c r="C3" s="3" t="n">
        <v>1</v>
      </c>
      <c r="D3" s="3">
        <f>IF(COUNT(Questions!D9:D14)=0,"",AVERAGE(Questions!D9:D14))</f>
        <v/>
      </c>
      <c r="E3">
        <f>IF(D3="","",IF(ROUND(D3,9)&lt;0.8,"L0",IF(ROUND(D3,9)&lt;1.6,"L1",IF(ROUND(D3,9)&lt;2.4,"L2",IF(ROUND(D3,9)&lt;3.2,"L3","L4")))))</f>
        <v/>
      </c>
      <c r="F3" s="3" t="n">
        <v>3</v>
      </c>
      <c r="G3">
        <f>IF(D3="","",MAX(0,F3-D3))</f>
        <v/>
      </c>
      <c r="H3">
        <f>IF(G3="","",C3*G3)</f>
        <v/>
      </c>
      <c r="I3">
        <f>IF(H3="","",IF(ROUND(H3,9)&gt;=2.4,"P0",IF(ROUND(H3,9)&gt;=1.6,"P1",IF(ROUND(H3,9)&gt;=0.9,"P2","P3"))))</f>
        <v/>
      </c>
      <c r="J3" s="3" t="n">
        <v>2.277</v>
      </c>
      <c r="K3">
        <f>IF(D3="","",C3*D3)</f>
        <v/>
      </c>
      <c r="L3">
        <f>IF(D3="","",C3)</f>
        <v/>
      </c>
    </row>
    <row r="4">
      <c r="A4" t="inlineStr">
        <is>
          <t>D3</t>
        </is>
      </c>
      <c r="B4" t="inlineStr">
        <is>
          <t>Planejar, especificar e desenhar</t>
        </is>
      </c>
      <c r="C4" s="3" t="n">
        <v>1</v>
      </c>
      <c r="D4" s="3">
        <f>IF(COUNT(Questions!D15:D20)=0,"",AVERAGE(Questions!D15:D20))</f>
        <v/>
      </c>
      <c r="E4">
        <f>IF(D4="","",IF(ROUND(D4,9)&lt;0.8,"L0",IF(ROUND(D4,9)&lt;1.6,"L1",IF(ROUND(D4,9)&lt;2.4,"L2",IF(ROUND(D4,9)&lt;3.2,"L3","L4")))))</f>
        <v/>
      </c>
      <c r="F4" s="3" t="n">
        <v>3</v>
      </c>
      <c r="G4">
        <f>IF(D4="","",MAX(0,F4-D4))</f>
        <v/>
      </c>
      <c r="H4">
        <f>IF(G4="","",C4*G4)</f>
        <v/>
      </c>
      <c r="I4">
        <f>IF(H4="","",IF(ROUND(H4,9)&gt;=2.4,"P0",IF(ROUND(H4,9)&gt;=1.6,"P1",IF(ROUND(H4,9)&gt;=0.9,"P2","P3"))))</f>
        <v/>
      </c>
      <c r="J4" s="3" t="n">
        <v>2.087</v>
      </c>
      <c r="K4">
        <f>IF(D4="","",C4*D4)</f>
        <v/>
      </c>
      <c r="L4">
        <f>IF(D4="","",C4)</f>
        <v/>
      </c>
    </row>
    <row r="5">
      <c r="A5" t="inlineStr">
        <is>
          <t>D4</t>
        </is>
      </c>
      <c r="B5" t="inlineStr">
        <is>
          <t>Código e engenharia de contexto</t>
        </is>
      </c>
      <c r="C5" s="3" t="n">
        <v>1</v>
      </c>
      <c r="D5" s="3">
        <f>IF(COUNT(Questions!D21:D28)=0,"",AVERAGE(Questions!D21:D28))</f>
        <v/>
      </c>
      <c r="E5">
        <f>IF(D5="","",IF(ROUND(D5,9)&lt;0.8,"L0",IF(ROUND(D5,9)&lt;1.6,"L1",IF(ROUND(D5,9)&lt;2.4,"L2",IF(ROUND(D5,9)&lt;3.2,"L3","L4")))))</f>
        <v/>
      </c>
      <c r="F5" s="3" t="n">
        <v>3</v>
      </c>
      <c r="G5">
        <f>IF(D5="","",MAX(0,F5-D5))</f>
        <v/>
      </c>
      <c r="H5">
        <f>IF(G5="","",C5*G5)</f>
        <v/>
      </c>
      <c r="I5">
        <f>IF(H5="","",IF(ROUND(H5,9)&gt;=2.4,"P0",IF(ROUND(H5,9)&gt;=1.6,"P1",IF(ROUND(H5,9)&gt;=0.9,"P2","P3"))))</f>
        <v/>
      </c>
      <c r="J5" s="3" t="n">
        <v>2.721</v>
      </c>
      <c r="K5">
        <f>IF(D5="","",C5*D5)</f>
        <v/>
      </c>
      <c r="L5">
        <f>IF(D5="","",C5)</f>
        <v/>
      </c>
    </row>
    <row r="6">
      <c r="A6" t="inlineStr">
        <is>
          <t>D5</t>
        </is>
      </c>
      <c r="B6" t="inlineStr">
        <is>
          <t>Revisão, qualidade e testes</t>
        </is>
      </c>
      <c r="C6" s="3" t="n">
        <v>1</v>
      </c>
      <c r="D6" s="3">
        <f>IF(COUNT(Questions!D29:D35)=0,"",AVERAGE(Questions!D29:D35))</f>
        <v/>
      </c>
      <c r="E6">
        <f>IF(D6="","",IF(ROUND(D6,9)&lt;0.8,"L0",IF(ROUND(D6,9)&lt;1.6,"L1",IF(ROUND(D6,9)&lt;2.4,"L2",IF(ROUND(D6,9)&lt;3.2,"L3","L4")))))</f>
        <v/>
      </c>
      <c r="F6" s="3" t="n">
        <v>3</v>
      </c>
      <c r="G6">
        <f>IF(D6="","",MAX(0,F6-D6))</f>
        <v/>
      </c>
      <c r="H6">
        <f>IF(G6="","",C6*G6)</f>
        <v/>
      </c>
      <c r="I6">
        <f>IF(H6="","",IF(ROUND(H6,9)&gt;=2.4,"P0",IF(ROUND(H6,9)&gt;=1.6,"P1",IF(ROUND(H6,9)&gt;=0.9,"P2","P3"))))</f>
        <v/>
      </c>
      <c r="J6" s="3" t="n">
        <v>2.096</v>
      </c>
      <c r="K6">
        <f>IF(D6="","",C6*D6)</f>
        <v/>
      </c>
      <c r="L6">
        <f>IF(D6="","",C6)</f>
        <v/>
      </c>
    </row>
    <row r="7">
      <c r="A7" t="inlineStr">
        <is>
          <t>D6</t>
        </is>
      </c>
      <c r="B7" t="inlineStr">
        <is>
          <t>Segurança e cadeia de suprimentos de IA</t>
        </is>
      </c>
      <c r="C7" s="3" t="n">
        <v>1</v>
      </c>
      <c r="D7" s="3">
        <f>IF(COUNT(Questions!D36:D42)=0,"",AVERAGE(Questions!D36:D42))</f>
        <v/>
      </c>
      <c r="E7">
        <f>IF(D7="","",IF(ROUND(D7,9)&lt;0.8,"L0",IF(ROUND(D7,9)&lt;1.6,"L1",IF(ROUND(D7,9)&lt;2.4,"L2",IF(ROUND(D7,9)&lt;3.2,"L3","L4")))))</f>
        <v/>
      </c>
      <c r="F7" s="3" t="n">
        <v>3</v>
      </c>
      <c r="G7">
        <f>IF(D7="","",MAX(0,F7-D7))</f>
        <v/>
      </c>
      <c r="H7">
        <f>IF(G7="","",C7*G7)</f>
        <v/>
      </c>
      <c r="I7">
        <f>IF(H7="","",IF(ROUND(H7,9)&gt;=2.4,"P0",IF(ROUND(H7,9)&gt;=1.6,"P1",IF(ROUND(H7,9)&gt;=0.9,"P2","P3"))))</f>
        <v/>
      </c>
      <c r="J7" s="3" t="n">
        <v>1.895</v>
      </c>
      <c r="K7">
        <f>IF(D7="","",C7*D7)</f>
        <v/>
      </c>
      <c r="L7">
        <f>IF(D7="","",C7)</f>
        <v/>
      </c>
    </row>
    <row r="8">
      <c r="A8" t="inlineStr">
        <is>
          <t>D7</t>
        </is>
      </c>
      <c r="B8" t="inlineStr">
        <is>
          <t>Entregar e operar</t>
        </is>
      </c>
      <c r="C8" s="3" t="n">
        <v>1</v>
      </c>
      <c r="D8" s="3">
        <f>IF(COUNT(Questions!D43:D48)=0,"",AVERAGE(Questions!D43:D48))</f>
        <v/>
      </c>
      <c r="E8">
        <f>IF(D8="","",IF(ROUND(D8,9)&lt;0.8,"L0",IF(ROUND(D8,9)&lt;1.6,"L1",IF(ROUND(D8,9)&lt;2.4,"L2",IF(ROUND(D8,9)&lt;3.2,"L3","L4")))))</f>
        <v/>
      </c>
      <c r="F8" s="3" t="n">
        <v>3</v>
      </c>
      <c r="G8">
        <f>IF(D8="","",MAX(0,F8-D8))</f>
        <v/>
      </c>
      <c r="H8">
        <f>IF(G8="","",C8*G8)</f>
        <v/>
      </c>
      <c r="I8">
        <f>IF(H8="","",IF(ROUND(H8,9)&gt;=2.4,"P0",IF(ROUND(H8,9)&gt;=1.6,"P1",IF(ROUND(H8,9)&gt;=0.9,"P2","P3"))))</f>
        <v/>
      </c>
      <c r="J8" s="3" t="n">
        <v>1.752</v>
      </c>
      <c r="K8">
        <f>IF(D8="","",C8*D8)</f>
        <v/>
      </c>
      <c r="L8">
        <f>IF(D8="","",C8)</f>
        <v/>
      </c>
    </row>
    <row r="9">
      <c r="A9" t="inlineStr">
        <is>
          <t>D8</t>
        </is>
      </c>
      <c r="B9" t="inlineStr">
        <is>
          <t>Fundamentos de engenharia (amplificadores de IA)</t>
        </is>
      </c>
      <c r="C9" s="3" t="n">
        <v>1</v>
      </c>
      <c r="D9" s="3">
        <f>IF(COUNT(Questions!D49:D55)=0,"",AVERAGE(Questions!D49:D55))</f>
        <v/>
      </c>
      <c r="E9">
        <f>IF(D9="","",IF(ROUND(D9,9)&lt;0.8,"L0",IF(ROUND(D9,9)&lt;1.6,"L1",IF(ROUND(D9,9)&lt;2.4,"L2",IF(ROUND(D9,9)&lt;3.2,"L3","L4")))))</f>
        <v/>
      </c>
      <c r="F9" s="3" t="n">
        <v>3</v>
      </c>
      <c r="G9">
        <f>IF(D9="","",MAX(0,F9-D9))</f>
        <v/>
      </c>
      <c r="H9">
        <f>IF(G9="","",C9*G9)</f>
        <v/>
      </c>
      <c r="I9">
        <f>IF(H9="","",IF(ROUND(H9,9)&gt;=2.4,"P0",IF(ROUND(H9,9)&gt;=1.6,"P1",IF(ROUND(H9,9)&gt;=0.9,"P2","P3"))))</f>
        <v/>
      </c>
      <c r="J9" s="3" t="n">
        <v>1.088</v>
      </c>
      <c r="K9">
        <f>IF(D9="","",C9*D9)</f>
        <v/>
      </c>
      <c r="L9">
        <f>IF(D9="","",C9)</f>
        <v/>
      </c>
    </row>
    <row r="10">
      <c r="A10" t="inlineStr">
        <is>
          <t>D9</t>
        </is>
      </c>
      <c r="B10" t="inlineStr">
        <is>
          <t>Medição, valor e AI FinOps</t>
        </is>
      </c>
      <c r="C10" s="3" t="n">
        <v>1</v>
      </c>
      <c r="D10" s="3">
        <f>IF(COUNT(Questions!D56:D62)=0,"",AVERAGE(Questions!D56:D62))</f>
        <v/>
      </c>
      <c r="E10">
        <f>IF(D10="","",IF(ROUND(D10,9)&lt;0.8,"L0",IF(ROUND(D10,9)&lt;1.6,"L1",IF(ROUND(D10,9)&lt;2.4,"L2",IF(ROUND(D10,9)&lt;3.2,"L3","L4")))))</f>
        <v/>
      </c>
      <c r="F10" s="3" t="n">
        <v>3</v>
      </c>
      <c r="G10">
        <f>IF(D10="","",MAX(0,F10-D10))</f>
        <v/>
      </c>
      <c r="H10">
        <f>IF(G10="","",C10*G10)</f>
        <v/>
      </c>
      <c r="I10">
        <f>IF(H10="","",IF(ROUND(H10,9)&gt;=2.4,"P0",IF(ROUND(H10,9)&gt;=1.6,"P1",IF(ROUND(H10,9)&gt;=0.9,"P2","P3"))))</f>
        <v/>
      </c>
      <c r="J10" s="3" t="n">
        <v>1.611</v>
      </c>
      <c r="K10">
        <f>IF(D10="","",C10*D10)</f>
        <v/>
      </c>
      <c r="L10">
        <f>IF(D10="","",C10)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Engine</t>
        </is>
      </c>
    </row>
    <row r="2">
      <c r="A2" t="inlineStr">
        <is>
          <t>Overall score</t>
        </is>
      </c>
      <c r="B2" s="3">
        <f>IFERROR(SUM(Dimensions!K2:K10)/SUM(Dimensions!L2:L10),"")</f>
        <v/>
      </c>
      <c r="C2" s="3" t="n">
        <v>2.038</v>
      </c>
    </row>
    <row r="3">
      <c r="A3" t="inlineStr">
        <is>
          <t>Overall level</t>
        </is>
      </c>
      <c r="B3" s="3">
        <f>IF(B2="","",IF(ROUND(B2,9)&lt;0.8,"L0",IF(ROUND(B2,9)&lt;1.6,"L1",IF(ROUND(B2,9)&lt;2.4,"L2",IF(ROUND(B2,9)&lt;3.2,"L3","L4")))))</f>
        <v/>
      </c>
      <c r="C3" t="inlineStr">
        <is>
          <t>L2</t>
        </is>
      </c>
    </row>
    <row r="4">
      <c r="A4" t="inlineStr">
        <is>
          <t>Questions with a score</t>
        </is>
      </c>
      <c r="B4" s="3">
        <f>COUNT(Questions!D2:D62)</f>
        <v/>
      </c>
      <c r="C4" t="n">
        <v>61</v>
      </c>
    </row>
    <row r="5">
      <c r="A5" t="inlineStr">
        <is>
          <t>Coverage status</t>
        </is>
      </c>
      <c r="B5" s="3">
        <f>IF(B4&gt;=37,"OK",IF(B4&gt;=25,"WARNING","BLOCKED"))</f>
        <v/>
      </c>
      <c r="C5" t="inlineStr">
        <is>
          <t>OK</t>
        </is>
      </c>
    </row>
    <row r="6">
      <c r="A6" t="inlineStr">
        <is>
          <t>Respondents</t>
        </is>
      </c>
      <c r="B6" t="n">
        <v>14</v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2026-09-29T20:26:49Z</dcterms:created>
  <dcterms:modified xmlns:dcterms="http://purl.org/dc/terms/" xmlns:xsi="http://www.w3.org/2001/XMLSchema-instance" xsi:type="dcterms:W3CDTF">2026-09-29T20:26:49Z</dcterms:modified>
</cp:coreProperties>
</file>