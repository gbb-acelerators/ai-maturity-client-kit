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Como ler" sheetId="1" state="visible" r:id="rId1"/>
    <sheet xmlns:r="http://schemas.openxmlformats.org/officeDocument/2006/relationships" name="Exemplo P1 (P1-C1)" sheetId="2" state="visible" r:id="rId2"/>
    <sheet xmlns:r="http://schemas.openxmlformats.org/officeDocument/2006/relationships" name="Exemplo P2 (P2-C1)" sheetId="3" state="visible" r:id="rId3"/>
    <sheet xmlns:r="http://schemas.openxmlformats.org/officeDocument/2006/relationships" name="Exemplo P3 (P3-C5)" sheetId="4" state="visible" r:id="rId4"/>
    <sheet xmlns:r="http://schemas.openxmlformats.org/officeDocument/2006/relationships" name="📊 Resumo (Pillar + Overall)" sheetId="5" state="visible" r:id="rId5"/>
    <sheet xmlns:r="http://schemas.openxmlformats.org/officeDocument/2006/relationships" name="Respostas" sheetId="6" state="visible" r:id="rId6"/>
    <sheet xmlns:r="http://schemas.openxmlformats.org/officeDocument/2006/relationships" name="Capabilities" sheetId="7" state="visible" r:id="rId7"/>
    <sheet xmlns:r="http://schemas.openxmlformats.org/officeDocument/2006/relationships" name="Pilares e Over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Calibri"/>
      <family val="2"/>
      <color theme="1"/>
      <sz val="11"/>
      <scheme val="minor"/>
    </font>
    <font>
      <b val="1"/>
      <color rgb="001E293B"/>
      <sz val="16"/>
    </font>
    <font>
      <i val="1"/>
      <color rgb="0064748B"/>
    </font>
    <font>
      <b val="1"/>
      <color rgb="001E293B"/>
      <sz val="12"/>
    </font>
    <font>
      <b val="1"/>
      <color rgb="00334155"/>
      <sz val="10"/>
    </font>
    <font>
      <b val="1"/>
      <color rgb="001E293B"/>
      <sz val="14"/>
    </font>
    <font>
      <b val="1"/>
      <color rgb="00FFFFFF"/>
      <sz val="11"/>
    </font>
    <font>
      <name val="Menlo"/>
      <color rgb="0064748B"/>
      <sz val="9"/>
    </font>
    <font>
      <b val="1"/>
    </font>
    <font>
      <b val="1"/>
      <color rgb="00065F46"/>
      <sz val="12"/>
    </font>
    <font>
      <b val="1"/>
      <color rgb="00065F46"/>
      <sz val="14"/>
    </font>
    <font>
      <b val="1"/>
      <i val="1"/>
      <color rgb="0064748B"/>
    </font>
    <font>
      <i val="1"/>
      <color rgb="0064748B"/>
      <sz val="9"/>
    </font>
    <font>
      <b val="1"/>
      <sz val="14"/>
    </font>
    <font>
      <b val="1"/>
      <sz val="12"/>
    </font>
    <font>
      <b val="1"/>
      <color rgb="003730A3"/>
      <sz val="14"/>
    </font>
    <font>
      <b val="1"/>
      <color rgb="003730A3"/>
      <sz val="16"/>
    </font>
    <font>
      <b val="1"/>
      <color rgb="003730A3"/>
    </font>
    <font>
      <i val="1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CE7F3"/>
      </patternFill>
    </fill>
    <fill>
      <patternFill patternType="solid">
        <fgColor rgb="00C7D2FE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center"/>
    </xf>
    <xf numFmtId="2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8" fillId="0" borderId="0" pivotButton="0" quotePrefix="0" xfId="0"/>
    <xf numFmtId="2" fontId="8" fillId="6" borderId="1" applyAlignment="1" pivotButton="0" quotePrefix="0" xfId="0">
      <alignment horizontal="center"/>
    </xf>
    <xf numFmtId="0" fontId="9" fillId="0" borderId="0" pivotButton="0" quotePrefix="0" xfId="0"/>
    <xf numFmtId="164" fontId="10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/>
    </xf>
    <xf numFmtId="2" fontId="0" fillId="7" borderId="1" applyAlignment="1" pivotButton="0" quotePrefix="0" xfId="0">
      <alignment horizontal="center"/>
    </xf>
    <xf numFmtId="2" fontId="8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4" fontId="0" fillId="6" borderId="1" applyAlignment="1" pivotButton="0" quotePrefix="0" xfId="0">
      <alignment horizontal="center"/>
    </xf>
    <xf numFmtId="0" fontId="14" fillId="0" borderId="0" pivotButton="0" quotePrefix="0" xfId="0"/>
    <xf numFmtId="164" fontId="8" fillId="5" borderId="1" applyAlignment="1" pivotButton="0" quotePrefix="0" xfId="0">
      <alignment horizontal="center"/>
    </xf>
    <xf numFmtId="0" fontId="15" fillId="0" borderId="0" pivotButton="0" quotePrefix="0" xfId="0"/>
    <xf numFmtId="164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0" customWidth="1" min="3" max="3"/>
  </cols>
  <sheetData>
    <row r="1" ht="24" customHeight="1">
      <c r="B1" s="1" t="inlineStr">
        <is>
          <t>Pontuação e Cálculo — AI Maturity Assessment</t>
        </is>
      </c>
    </row>
    <row r="2">
      <c r="B2" s="2" t="inlineStr">
        <is>
          <t>Planilha auditável com SUMPRODUCT visível</t>
        </is>
      </c>
    </row>
    <row r="3"/>
    <row r="4">
      <c r="B4" s="3" t="inlineStr">
        <is>
          <t>Como funciona</t>
        </is>
      </c>
    </row>
    <row r="5">
      <c r="B5" s="4" t="inlineStr">
        <is>
          <t>3 camadas</t>
        </is>
      </c>
      <c r="C5" s="5" t="inlineStr">
        <is>
          <t>capability_score → pillar_score → overall_score (SUMPRODUCT em cada nível)</t>
        </is>
      </c>
    </row>
    <row r="6">
      <c r="B6" s="4" t="inlineStr">
        <is>
          <t>Capability score</t>
        </is>
      </c>
      <c r="C6" s="5" t="inlineStr">
        <is>
          <t>= SUMPRODUCT(níveis × pesos) / SUM(pesos)  — apenas questões respondidas entram</t>
        </is>
      </c>
    </row>
    <row r="7">
      <c r="B7" s="4" t="inlineStr">
        <is>
          <t>Pillar score</t>
        </is>
      </c>
      <c r="C7" s="5" t="inlineStr">
        <is>
          <t>= SUMPRODUCT(capability_scores × pesos) / SUM(pesos)  — sobre capabilities do pillar</t>
        </is>
      </c>
    </row>
    <row r="8">
      <c r="B8" s="4" t="inlineStr">
        <is>
          <t>Overall score</t>
        </is>
      </c>
      <c r="C8" s="5" t="inlineStr">
        <is>
          <t>= SUMPRODUCT(TODAS capabilities × pesos) / SUM(pesos)  — NÃO é média dos 3 pillars</t>
        </is>
      </c>
    </row>
    <row r="9"/>
    <row r="10">
      <c r="B10" s="3" t="inlineStr">
        <is>
          <t>Convenção de cores</t>
        </is>
      </c>
    </row>
    <row r="11">
      <c r="B11" s="4" t="inlineStr">
        <is>
          <t>Amarelo (input)</t>
        </is>
      </c>
      <c r="C11" s="5" t="inlineStr">
        <is>
          <t>Célula editável: nível selecionado, peso, target_level</t>
        </is>
      </c>
    </row>
    <row r="12">
      <c r="B12" s="4" t="inlineStr">
        <is>
          <t>Azul (computed)</t>
        </is>
      </c>
      <c r="C12" s="5" t="inlineStr">
        <is>
          <t>Cálculo intermediário (nível×peso, etc.)</t>
        </is>
      </c>
    </row>
    <row r="13">
      <c r="B13" s="4" t="inlineStr">
        <is>
          <t>Verde (resultado)</t>
        </is>
      </c>
      <c r="C13" s="5" t="inlineStr">
        <is>
          <t>Score final da capability/pillar/overall</t>
        </is>
      </c>
    </row>
    <row r="14">
      <c r="B14" s="4" t="inlineStr">
        <is>
          <t>Rosa (target/gap)</t>
        </is>
      </c>
      <c r="C14" s="5" t="inlineStr">
        <is>
          <t>Target_level e gap_size por capability</t>
        </is>
      </c>
    </row>
    <row r="15"/>
    <row r="16">
      <c r="B16" s="3" t="inlineStr">
        <is>
          <t>Escala</t>
        </is>
      </c>
    </row>
    <row r="17">
      <c r="B17" s="4" t="inlineStr">
        <is>
          <t>L0 = 0 (Inicial)</t>
        </is>
      </c>
      <c r="C17" s="5" t="inlineStr">
        <is>
          <t>Sem prática estabelecida</t>
        </is>
      </c>
    </row>
    <row r="18">
      <c r="B18" s="4" t="inlineStr">
        <is>
          <t>L1 = 1 (Em Desenvolvimento)</t>
        </is>
      </c>
      <c r="C18" s="5" t="inlineStr">
        <is>
          <t>Pilotos isolados, &lt;25% de cobertura</t>
        </is>
      </c>
    </row>
    <row r="19">
      <c r="B19" s="4" t="inlineStr">
        <is>
          <t>L2 = 2 (Definido)</t>
        </is>
      </c>
      <c r="C19" s="5" t="inlineStr">
        <is>
          <t>25–50% de cobertura, com diretrizes</t>
        </is>
      </c>
    </row>
    <row r="20">
      <c r="B20" s="4" t="inlineStr">
        <is>
          <t>L3 = 3 (Gerenciado)</t>
        </is>
      </c>
      <c r="C20" s="5" t="inlineStr">
        <is>
          <t>&gt;75% com métricas de impacto</t>
        </is>
      </c>
    </row>
    <row r="21">
      <c r="B21" s="4" t="inlineStr">
        <is>
          <t>L4 = 4 (Otimizando)</t>
        </is>
      </c>
      <c r="C21" s="5" t="inlineStr">
        <is>
          <t>&gt;95% universal, automação contínua</t>
        </is>
      </c>
    </row>
    <row r="22"/>
    <row r="23">
      <c r="B23" s="3" t="inlineStr">
        <is>
          <t>Mapeamento score → rótulo</t>
        </is>
      </c>
    </row>
    <row r="24">
      <c r="B24" s="4" t="inlineStr">
        <is>
          <t>score &lt; 0.5</t>
        </is>
      </c>
      <c r="C24" s="5" t="inlineStr">
        <is>
          <t>L0 — Inicial</t>
        </is>
      </c>
    </row>
    <row r="25">
      <c r="B25" s="4" t="inlineStr">
        <is>
          <t>0.5 ≤ score &lt; 1.5</t>
        </is>
      </c>
      <c r="C25" s="5" t="inlineStr">
        <is>
          <t>L1 — Em Desenvolvimento</t>
        </is>
      </c>
    </row>
    <row r="26">
      <c r="B26" s="4" t="inlineStr">
        <is>
          <t>1.5 ≤ score &lt; 2.5</t>
        </is>
      </c>
      <c r="C26" s="5" t="inlineStr">
        <is>
          <t>L2 — Definido</t>
        </is>
      </c>
    </row>
    <row r="27">
      <c r="B27" s="4" t="inlineStr">
        <is>
          <t>2.5 ≤ score &lt; 3.5</t>
        </is>
      </c>
      <c r="C27" s="5" t="inlineStr">
        <is>
          <t>L3 — Gerenciado</t>
        </is>
      </c>
    </row>
    <row r="28">
      <c r="B28" s="4" t="inlineStr">
        <is>
          <t>score ≥ 3.5</t>
        </is>
      </c>
      <c r="C28" s="5" t="inlineStr">
        <is>
          <t>L4 — Otimizando</t>
        </is>
      </c>
    </row>
    <row r="29"/>
    <row r="30">
      <c r="B30" s="3" t="inlineStr">
        <is>
          <t>Threshold de cobertura</t>
        </is>
      </c>
    </row>
    <row r="31">
      <c r="B31" s="4" t="inlineStr">
        <is>
          <t>≥ 40 questões respondidas</t>
        </is>
      </c>
      <c r="C31" s="5" t="inlineStr">
        <is>
          <t>OK — scoring confiável</t>
        </is>
      </c>
    </row>
    <row r="32">
      <c r="B32" s="4" t="inlineStr">
        <is>
          <t>25–39 questões</t>
        </is>
      </c>
      <c r="C32" s="5" t="inlineStr">
        <is>
          <t>WARNING — scoring preliminar</t>
        </is>
      </c>
    </row>
    <row r="33">
      <c r="B33" s="4" t="inlineStr">
        <is>
          <t>&lt; 25 questões</t>
        </is>
      </c>
      <c r="C33" s="5" t="inlineStr">
        <is>
          <t>BLOCKED — scoring recusado</t>
        </is>
      </c>
    </row>
    <row r="34"/>
    <row r="35">
      <c r="B35" s="3" t="inlineStr">
        <is>
          <t>Gap analysis</t>
        </is>
      </c>
    </row>
    <row r="36">
      <c r="B36" s="4" t="inlineStr">
        <is>
          <t>gap_size</t>
        </is>
      </c>
      <c r="C36" s="5" t="inlineStr">
        <is>
          <t>= target_level − current_score  (descartado se ≤ 0)</t>
        </is>
      </c>
    </row>
    <row r="37">
      <c r="B37" s="4" t="inlineStr">
        <is>
          <t>priority_score</t>
        </is>
      </c>
      <c r="C37" s="5" t="inlineStr">
        <is>
          <t>= peso_capability × gap_size</t>
        </is>
      </c>
    </row>
    <row r="38">
      <c r="B38" s="4" t="inlineStr">
        <is>
          <t>P0 (≥ 2.4)</t>
        </is>
      </c>
      <c r="C38" s="5" t="inlineStr">
        <is>
          <t>Crítico — endereçar em 30 dias</t>
        </is>
      </c>
    </row>
    <row r="39">
      <c r="B39" s="4" t="inlineStr">
        <is>
          <t>P1 (≥ 1.6)</t>
        </is>
      </c>
      <c r="C39" s="5" t="inlineStr">
        <is>
          <t>Alto — incluir no próximo trimestre</t>
        </is>
      </c>
    </row>
    <row r="40">
      <c r="B40" s="4" t="inlineStr">
        <is>
          <t>P2 (≥ 0.9)</t>
        </is>
      </c>
      <c r="C40" s="5" t="inlineStr">
        <is>
          <t>Médio — backlog do semestre</t>
        </is>
      </c>
    </row>
    <row r="41">
      <c r="B41" s="4" t="inlineStr">
        <is>
          <t>P3 (&lt; 0.9)</t>
        </is>
      </c>
      <c r="C41" s="5" t="inlineStr">
        <is>
          <t>Baixo — monitorar</t>
        </is>
      </c>
    </row>
    <row r="42"/>
    <row r="43">
      <c r="B43" s="3" t="inlineStr">
        <is>
          <t>Abas</t>
        </is>
      </c>
    </row>
    <row r="44">
      <c r="B44" s="4" t="inlineStr">
        <is>
          <t>Exemplo P1</t>
        </is>
      </c>
      <c r="C44" s="5" t="inlineStr">
        <is>
          <t>Capability P1-C1 (Assistentes de Codificação IA) — 5 questões</t>
        </is>
      </c>
    </row>
    <row r="45">
      <c r="B45" s="4" t="inlineStr">
        <is>
          <t>Exemplo P2</t>
        </is>
      </c>
      <c r="C45" s="5" t="inlineStr">
        <is>
          <t>Capability P2-C1 (Inteligência de Pipeline CI/CD) — 6 questões</t>
        </is>
      </c>
    </row>
    <row r="46">
      <c r="B46" s="4" t="inlineStr">
        <is>
          <t>Exemplo P3</t>
        </is>
      </c>
      <c r="C46" s="5" t="inlineStr">
        <is>
          <t>Capability P3-C5 (Aplicações Agênticas) — 6 questões</t>
        </is>
      </c>
    </row>
    <row r="47">
      <c r="B47" s="4" t="inlineStr">
        <is>
          <t>Resumo</t>
        </is>
      </c>
      <c r="C47" s="5" t="inlineStr">
        <is>
          <t>Combina os 3 exemplos: pillar scores + overall + gap analysis</t>
        </is>
      </c>
    </row>
  </sheetData>
  <mergeCells count="7">
    <mergeCell ref="B30:C30"/>
    <mergeCell ref="B16:C16"/>
    <mergeCell ref="B10:C10"/>
    <mergeCell ref="B23:C23"/>
    <mergeCell ref="B35:C35"/>
    <mergeCell ref="B4:C4"/>
    <mergeCell ref="B43:C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24" customWidth="1" min="4" max="4"/>
    <col width="9" customWidth="1" min="5" max="5"/>
    <col width="14" customWidth="1" min="6" max="6"/>
  </cols>
  <sheetData>
    <row r="1">
      <c r="A1" s="6" t="inlineStr">
        <is>
          <t>P1 · P1-C1 — Assistentes de Codificação IA</t>
        </is>
      </c>
    </row>
    <row r="2">
      <c r="A2" s="2" t="inlineStr">
        <is>
          <t>Pillar: Produtividade do Desenvolvedor</t>
        </is>
      </c>
    </row>
    <row r="3"/>
    <row r="4">
      <c r="A4" s="7" t="inlineStr">
        <is>
          <t>ID Questão</t>
        </is>
      </c>
      <c r="B4" s="7" t="inlineStr">
        <is>
          <t>Pergunta (PT-BR)</t>
        </is>
      </c>
      <c r="C4" s="7" t="inlineStr">
        <is>
          <t>Nível (0-4)</t>
        </is>
      </c>
      <c r="D4" s="7" t="inlineStr">
        <is>
          <t>Rótulo</t>
        </is>
      </c>
      <c r="E4" s="7" t="inlineStr">
        <is>
          <t>Peso</t>
        </is>
      </c>
      <c r="F4" s="7" t="inlineStr">
        <is>
          <t>Nível × Peso</t>
        </is>
      </c>
    </row>
    <row r="5" ht="32" customHeight="1">
      <c r="A5" s="8" t="inlineStr">
        <is>
          <t>P1-C1-Q1</t>
        </is>
      </c>
      <c r="B5" s="5" t="inlineStr">
        <is>
          <t>Em que medida sua organização utiliza ferramentas de completação de código com IA (ex. GitHub Copilot)?</t>
        </is>
      </c>
      <c r="C5" s="9" t="n">
        <v>3</v>
      </c>
      <c r="D5" s="10">
        <f>IF(C5="","—",IF(C5&lt;0.5,"L0 — Inicial",IF(C5&lt;1.5,"L1 — Em Desenvolvimento",IF(C5&lt;2.5,"L2 — Definido",IF(C5&lt;3.5,"L3 — Gerenciado","L4 — Otimizando")))))</f>
        <v/>
      </c>
      <c r="E5" s="11" t="n">
        <v>1</v>
      </c>
      <c r="F5" s="12">
        <f>IF(C5="",0,C5*E5)</f>
        <v/>
      </c>
    </row>
    <row r="6" ht="32" customHeight="1">
      <c r="A6" s="8" t="inlineStr">
        <is>
          <t>P1-C1-Q2</t>
        </is>
      </c>
      <c r="B6" s="5" t="inlineStr">
        <is>
          <t>Quão efetivamente sua equipe aproveita IA para revisão de código e melhoria de qualidade?</t>
        </is>
      </c>
      <c r="C6" s="9" t="n">
        <v>3</v>
      </c>
      <c r="D6" s="13">
        <f>IF(C6="","—",IF(C6&lt;0.5,"L0 — Inicial",IF(C6&lt;1.5,"L1 — Em Desenvolvimento",IF(C6&lt;2.5,"L2 — Definido",IF(C6&lt;3.5,"L3 — Gerenciado","L4 — Otimizando")))))</f>
        <v/>
      </c>
      <c r="E6" s="11" t="n">
        <v>1</v>
      </c>
      <c r="F6" s="12">
        <f>IF(C6="",0,C6*E6)</f>
        <v/>
      </c>
    </row>
    <row r="7" ht="32" customHeight="1">
      <c r="A7" s="8" t="inlineStr">
        <is>
          <t>P1-C1-Q3</t>
        </is>
      </c>
      <c r="B7" s="5" t="inlineStr">
        <is>
          <t>Como sua organização mede e rastreia o impacto das ferramentas de codificação IA na produtividade?</t>
        </is>
      </c>
      <c r="C7" s="9" t="n">
        <v>2</v>
      </c>
      <c r="D7" s="14">
        <f>IF(C7="","—",IF(C7&lt;0.5,"L0 — Inicial",IF(C7&lt;1.5,"L1 — Em Desenvolvimento",IF(C7&lt;2.5,"L2 — Definido",IF(C7&lt;3.5,"L3 — Gerenciado","L4 — Otimizando")))))</f>
        <v/>
      </c>
      <c r="E7" s="11" t="n">
        <v>0.8</v>
      </c>
      <c r="F7" s="12">
        <f>IF(C7="",0,C7*E7)</f>
        <v/>
      </c>
    </row>
    <row r="8" ht="32" customHeight="1">
      <c r="A8" s="8" t="inlineStr">
        <is>
          <t>P1-C1-Q4</t>
        </is>
      </c>
      <c r="B8" s="5" t="inlineStr">
        <is>
          <t>Qual nível de capacidades de testes assistidos por IA sua organização emprega?</t>
        </is>
      </c>
      <c r="C8" s="9" t="n">
        <v>4</v>
      </c>
      <c r="D8" s="13">
        <f>IF(C8="","—",IF(C8&lt;0.5,"L0 — Inicial",IF(C8&lt;1.5,"L1 — Em Desenvolvimento",IF(C8&lt;2.5,"L2 — Definido",IF(C8&lt;3.5,"L3 — Gerenciado","L4 — Otimizando")))))</f>
        <v/>
      </c>
      <c r="E8" s="11" t="n">
        <v>1</v>
      </c>
      <c r="F8" s="12">
        <f>IF(C8="",0,C8*E8)</f>
        <v/>
      </c>
    </row>
    <row r="9" ht="32" customHeight="1">
      <c r="A9" s="8" t="inlineStr">
        <is>
          <t>P1-C1-Q5</t>
        </is>
      </c>
      <c r="B9" s="5" t="inlineStr">
        <is>
          <t>Como sua organização governa o código gerado por IA em termos de segurança e conformidade?</t>
        </is>
      </c>
      <c r="C9" s="9" t="n">
        <v>3</v>
      </c>
      <c r="D9" s="10">
        <f>IF(C9="","—",IF(C9&lt;0.5,"L0 — Inicial",IF(C9&lt;1.5,"L1 — Em Desenvolvimento",IF(C9&lt;2.5,"L2 — Definido",IF(C9&lt;3.5,"L3 — Gerenciado","L4 — Otimizando")))))</f>
        <v/>
      </c>
      <c r="E9" s="11" t="n">
        <v>1.1</v>
      </c>
      <c r="F9" s="12">
        <f>IF(C9="",0,C9*E9)</f>
        <v/>
      </c>
    </row>
    <row r="10"/>
    <row r="11">
      <c r="A11" s="15" t="inlineStr">
        <is>
          <t>Σ(Nível × Peso)</t>
        </is>
      </c>
      <c r="F11" s="16">
        <f>SUMPRODUCT(C5:C9,E5:E9)</f>
        <v/>
      </c>
    </row>
    <row r="12">
      <c r="A12" s="15" t="inlineStr">
        <is>
          <t>Σ(Peso)</t>
        </is>
      </c>
      <c r="F12" s="16">
        <f>SUMPRODUCT(ISNUMBER(C5:C9)*E5:E9)</f>
        <v/>
      </c>
    </row>
    <row r="13"/>
    <row r="14">
      <c r="A14" s="17" t="inlineStr">
        <is>
          <t>CAPABILITY SCORE</t>
        </is>
      </c>
      <c r="F14" s="18">
        <f>IF(F12=0,"",F11/F12)</f>
        <v/>
      </c>
    </row>
    <row r="15">
      <c r="A15" s="15" t="inlineStr">
        <is>
          <t>Rótulo de maturidade</t>
        </is>
      </c>
      <c r="F15" s="19">
        <f>IF(F14="","—",IF(F14&lt;0.5,"L0 — Inicial",IF(F14&lt;1.5,"L1 — Em Desenvolvimento",IF(F14&lt;2.5,"L2 — Definido",IF(F14&lt;3.5,"L3 — Gerenciado","L4 — Otimizando")))))</f>
        <v/>
      </c>
    </row>
    <row r="16"/>
    <row r="17">
      <c r="A17" s="15" t="inlineStr">
        <is>
          <t>Target level</t>
        </is>
      </c>
      <c r="F17" s="20" t="n">
        <v>4</v>
      </c>
    </row>
    <row r="18">
      <c r="A18" s="15" t="inlineStr">
        <is>
          <t>gap_size = target − current</t>
        </is>
      </c>
      <c r="F18" s="20">
        <f>IF(F14="","",MAX(0,F17-F14))</f>
        <v/>
      </c>
    </row>
    <row r="19">
      <c r="A19" s="15" t="inlineStr">
        <is>
          <t>Peso da capability</t>
        </is>
      </c>
      <c r="F19" s="11" t="n">
        <v>1.2</v>
      </c>
    </row>
    <row r="20">
      <c r="A20" s="15" t="inlineStr">
        <is>
          <t>priority_score = peso × gap</t>
        </is>
      </c>
      <c r="F20" s="21">
        <f>IF(F18="","",F19*F18)</f>
        <v/>
      </c>
    </row>
    <row r="21">
      <c r="A21" s="15" t="inlineStr">
        <is>
          <t>Prioridade</t>
        </is>
      </c>
      <c r="F21" s="22">
        <f>IF(F20="","",IF(F20&gt;=2.4,"P0 — Crítico",IF(F20&gt;=1.6,"P1 — Alto",IF(F20&gt;=0.9,"P2 — Médio","P3 — Baixo"))))</f>
        <v/>
      </c>
    </row>
    <row r="22"/>
    <row r="23"/>
    <row r="24">
      <c r="A24" s="23" t="inlineStr">
        <is>
          <t>Como ler:</t>
        </is>
      </c>
    </row>
    <row r="25">
      <c r="A25" s="24" t="inlineStr">
        <is>
          <t>• Células AMARELAS são editáveis — mude nível, peso da questão, peso da capability ou target.</t>
        </is>
      </c>
    </row>
    <row r="26">
      <c r="A26" s="24" t="inlineStr">
        <is>
          <t>• Células AZUIS recalculam automaticamente (nível × peso, somatórios).</t>
        </is>
      </c>
    </row>
    <row r="27">
      <c r="A27" s="24" t="inlineStr">
        <is>
          <t>• Célula VERDE é o resultado final da capability (com rótulo L0–L4 abaixo).</t>
        </is>
      </c>
    </row>
    <row r="28">
      <c r="A28" s="24" t="inlineStr">
        <is>
          <t>• Células ROSA mostram gap analysis (target, gap, priority_score, prioridade P0–P3).</t>
        </is>
      </c>
    </row>
    <row r="29">
      <c r="A29" s="24" t="inlineStr">
        <is>
          <t>• Aba 'Resumo' usa este capability_score (Cell F14) para calcular pillar e overall.</t>
        </is>
      </c>
    </row>
  </sheetData>
  <mergeCells count="14">
    <mergeCell ref="A21:E21"/>
    <mergeCell ref="A2:F2"/>
    <mergeCell ref="A28:F28"/>
    <mergeCell ref="A20:E20"/>
    <mergeCell ref="A15:E15"/>
    <mergeCell ref="A1:F1"/>
    <mergeCell ref="A29:F29"/>
    <mergeCell ref="A19:E19"/>
    <mergeCell ref="A27:F27"/>
    <mergeCell ref="A14:E14"/>
    <mergeCell ref="A26:F26"/>
    <mergeCell ref="A17:E17"/>
    <mergeCell ref="A18:E18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24" customWidth="1" min="4" max="4"/>
    <col width="9" customWidth="1" min="5" max="5"/>
    <col width="14" customWidth="1" min="6" max="6"/>
  </cols>
  <sheetData>
    <row r="1">
      <c r="A1" s="6" t="inlineStr">
        <is>
          <t>P2 · P2-C1 — Inteligência de Pipeline CI/CD</t>
        </is>
      </c>
    </row>
    <row r="2">
      <c r="A2" s="2" t="inlineStr">
        <is>
          <t>Pillar: Ciclo de Vida DevOps</t>
        </is>
      </c>
    </row>
    <row r="3"/>
    <row r="4">
      <c r="A4" s="7" t="inlineStr">
        <is>
          <t>ID Questão</t>
        </is>
      </c>
      <c r="B4" s="7" t="inlineStr">
        <is>
          <t>Pergunta (PT-BR)</t>
        </is>
      </c>
      <c r="C4" s="7" t="inlineStr">
        <is>
          <t>Nível (0-4)</t>
        </is>
      </c>
      <c r="D4" s="7" t="inlineStr">
        <is>
          <t>Rótulo</t>
        </is>
      </c>
      <c r="E4" s="7" t="inlineStr">
        <is>
          <t>Peso</t>
        </is>
      </c>
      <c r="F4" s="7" t="inlineStr">
        <is>
          <t>Nível × Peso</t>
        </is>
      </c>
    </row>
    <row r="5" ht="32" customHeight="1">
      <c r="A5" s="8" t="inlineStr">
        <is>
          <t>P2-C1-Q1</t>
        </is>
      </c>
      <c r="B5" s="5" t="inlineStr">
        <is>
          <t>Quão maduro é seu pipeline CI/CD em termos de automação e integração de IA?</t>
        </is>
      </c>
      <c r="C5" s="9" t="n">
        <v>2</v>
      </c>
      <c r="D5" s="10">
        <f>IF(C5="","—",IF(C5&lt;0.5,"L0 — Inicial",IF(C5&lt;1.5,"L1 — Em Desenvolvimento",IF(C5&lt;2.5,"L2 — Definido",IF(C5&lt;3.5,"L3 — Gerenciado","L4 — Otimizando")))))</f>
        <v/>
      </c>
      <c r="E5" s="11" t="n">
        <v>1</v>
      </c>
      <c r="F5" s="12">
        <f>IF(C5="",0,C5*E5)</f>
        <v/>
      </c>
    </row>
    <row r="6" ht="32" customHeight="1">
      <c r="A6" s="8" t="inlineStr">
        <is>
          <t>P2-C1-Q2</t>
        </is>
      </c>
      <c r="B6" s="5" t="inlineStr">
        <is>
          <t>Em que medida Inteligência de Pipeline CI/CD (pipeline-as-code everywhere) foi adotado entre as equipes?</t>
        </is>
      </c>
      <c r="C6" s="9" t="n">
        <v>3</v>
      </c>
      <c r="D6" s="13">
        <f>IF(C6="","—",IF(C6&lt;0.5,"L0 — Inicial",IF(C6&lt;1.5,"L1 — Em Desenvolvimento",IF(C6&lt;2.5,"L2 — Definido",IF(C6&lt;3.5,"L3 — Gerenciado","L4 — Otimizando")))))</f>
        <v/>
      </c>
      <c r="E6" s="11" t="n">
        <v>1</v>
      </c>
      <c r="F6" s="12">
        <f>IF(C6="",0,C6*E6)</f>
        <v/>
      </c>
    </row>
    <row r="7" ht="32" customHeight="1">
      <c r="A7" s="8" t="inlineStr">
        <is>
          <t>P2-C1-Q3</t>
        </is>
      </c>
      <c r="B7" s="5" t="inlineStr">
        <is>
          <t>Em que medida Inteligência de Pipeline CI/CD (build caching and artifact reuse) foi adotado entre as equipes?</t>
        </is>
      </c>
      <c r="C7" s="9" t="n">
        <v>2</v>
      </c>
      <c r="D7" s="14">
        <f>IF(C7="","—",IF(C7&lt;0.5,"L0 — Inicial",IF(C7&lt;1.5,"L1 — Em Desenvolvimento",IF(C7&lt;2.5,"L2 — Definido",IF(C7&lt;3.5,"L3 — Gerenciado","L4 — Otimizando")))))</f>
        <v/>
      </c>
      <c r="E7" s="11" t="n">
        <v>1</v>
      </c>
      <c r="F7" s="12">
        <f>IF(C7="",0,C7*E7)</f>
        <v/>
      </c>
    </row>
    <row r="8" ht="32" customHeight="1">
      <c r="A8" s="8" t="inlineStr">
        <is>
          <t>P2-C1-Q4</t>
        </is>
      </c>
      <c r="B8" s="5" t="inlineStr">
        <is>
          <t>Em que medida Inteligência de Pipeline CI/CD (trunk-based development) foi adotado entre as equipes?</t>
        </is>
      </c>
      <c r="C8" s="9" t="n">
        <v>2</v>
      </c>
      <c r="D8" s="13">
        <f>IF(C8="","—",IF(C8&lt;0.5,"L0 — Inicial",IF(C8&lt;1.5,"L1 — Em Desenvolvimento",IF(C8&lt;2.5,"L2 — Definido",IF(C8&lt;3.5,"L3 — Gerenciado","L4 — Otimizando")))))</f>
        <v/>
      </c>
      <c r="E8" s="11" t="n">
        <v>1</v>
      </c>
      <c r="F8" s="12">
        <f>IF(C8="",0,C8*E8)</f>
        <v/>
      </c>
    </row>
    <row r="9" ht="32" customHeight="1">
      <c r="A9" s="8" t="inlineStr">
        <is>
          <t>P2-C1-Q5</t>
        </is>
      </c>
      <c r="B9" s="5" t="inlineStr">
        <is>
          <t>Em que medida Inteligência de Pipeline CI/CD (deployment frequency) foi adotado entre as equipes?</t>
        </is>
      </c>
      <c r="C9" s="9" t="n">
        <v>3</v>
      </c>
      <c r="D9" s="10">
        <f>IF(C9="","—",IF(C9&lt;0.5,"L0 — Inicial",IF(C9&lt;1.5,"L1 — Em Desenvolvimento",IF(C9&lt;2.5,"L2 — Definido",IF(C9&lt;3.5,"L3 — Gerenciado","L4 — Otimizando")))))</f>
        <v/>
      </c>
      <c r="E9" s="11" t="n">
        <v>1</v>
      </c>
      <c r="F9" s="12">
        <f>IF(C9="",0,C9*E9)</f>
        <v/>
      </c>
    </row>
    <row r="10" ht="32" customHeight="1">
      <c r="A10" s="8" t="inlineStr">
        <is>
          <t>P2-C1-Q6</t>
        </is>
      </c>
      <c r="B10" s="5" t="inlineStr">
        <is>
          <t>Em que medida Inteligência de Pipeline CI/CD (feature flags for progressive delivery) foi adotado entre as equipes?</t>
        </is>
      </c>
      <c r="C10" s="9" t="n">
        <v>2</v>
      </c>
      <c r="D10" s="14">
        <f>IF(C10="","—",IF(C10&lt;0.5,"L0 — Inicial",IF(C10&lt;1.5,"L1 — Em Desenvolvimento",IF(C10&lt;2.5,"L2 — Definido",IF(C10&lt;3.5,"L3 — Gerenciado","L4 — Otimizando")))))</f>
        <v/>
      </c>
      <c r="E10" s="11" t="n">
        <v>1</v>
      </c>
      <c r="F10" s="12">
        <f>IF(C10="",0,C10*E10)</f>
        <v/>
      </c>
    </row>
    <row r="11"/>
    <row r="12">
      <c r="A12" s="15" t="inlineStr">
        <is>
          <t>Σ(Nível × Peso)</t>
        </is>
      </c>
      <c r="F12" s="16">
        <f>SUMPRODUCT(C5:C10,E5:E10)</f>
        <v/>
      </c>
    </row>
    <row r="13">
      <c r="A13" s="15" t="inlineStr">
        <is>
          <t>Σ(Peso)</t>
        </is>
      </c>
      <c r="F13" s="16">
        <f>SUMPRODUCT(ISNUMBER(C5:C10)*E5:E10)</f>
        <v/>
      </c>
    </row>
    <row r="14"/>
    <row r="15">
      <c r="A15" s="17" t="inlineStr">
        <is>
          <t>CAPABILITY SCORE</t>
        </is>
      </c>
      <c r="F15" s="18">
        <f>IF(F13=0,"",F12/F13)</f>
        <v/>
      </c>
    </row>
    <row r="16">
      <c r="A16" s="15" t="inlineStr">
        <is>
          <t>Rótulo de maturidade</t>
        </is>
      </c>
      <c r="F16" s="19">
        <f>IF(F15="","—",IF(F15&lt;0.5,"L0 — Inicial",IF(F15&lt;1.5,"L1 — Em Desenvolvimento",IF(F15&lt;2.5,"L2 — Definido",IF(F15&lt;3.5,"L3 — Gerenciado","L4 — Otimizando")))))</f>
        <v/>
      </c>
    </row>
    <row r="17"/>
    <row r="18">
      <c r="A18" s="15" t="inlineStr">
        <is>
          <t>Target level</t>
        </is>
      </c>
      <c r="F18" s="20" t="n">
        <v>3</v>
      </c>
    </row>
    <row r="19">
      <c r="A19" s="15" t="inlineStr">
        <is>
          <t>gap_size = target − current</t>
        </is>
      </c>
      <c r="F19" s="20">
        <f>IF(F15="","",MAX(0,F18-F15))</f>
        <v/>
      </c>
    </row>
    <row r="20">
      <c r="A20" s="15" t="inlineStr">
        <is>
          <t>Peso da capability</t>
        </is>
      </c>
      <c r="F20" s="11" t="n">
        <v>1.2</v>
      </c>
    </row>
    <row r="21">
      <c r="A21" s="15" t="inlineStr">
        <is>
          <t>priority_score = peso × gap</t>
        </is>
      </c>
      <c r="F21" s="21">
        <f>IF(F19="","",F20*F19)</f>
        <v/>
      </c>
    </row>
    <row r="22">
      <c r="A22" s="15" t="inlineStr">
        <is>
          <t>Prioridade</t>
        </is>
      </c>
      <c r="F22" s="22">
        <f>IF(F21="","",IF(F21&gt;=2.4,"P0 — Crítico",IF(F21&gt;=1.6,"P1 — Alto",IF(F21&gt;=0.9,"P2 — Médio","P3 — Baixo"))))</f>
        <v/>
      </c>
    </row>
    <row r="23"/>
    <row r="24"/>
    <row r="25">
      <c r="A25" s="23" t="inlineStr">
        <is>
          <t>Como ler:</t>
        </is>
      </c>
    </row>
    <row r="26">
      <c r="A26" s="24" t="inlineStr">
        <is>
          <t>• Células AMARELAS são editáveis — mude nível, peso da questão, peso da capability ou target.</t>
        </is>
      </c>
    </row>
    <row r="27">
      <c r="A27" s="24" t="inlineStr">
        <is>
          <t>• Células AZUIS recalculam automaticamente (nível × peso, somatórios).</t>
        </is>
      </c>
    </row>
    <row r="28">
      <c r="A28" s="24" t="inlineStr">
        <is>
          <t>• Célula VERDE é o resultado final da capability (com rótulo L0–L4 abaixo).</t>
        </is>
      </c>
    </row>
    <row r="29">
      <c r="A29" s="24" t="inlineStr">
        <is>
          <t>• Células ROSA mostram gap analysis (target, gap, priority_score, prioridade P0–P3).</t>
        </is>
      </c>
    </row>
    <row r="30">
      <c r="A30" s="24" t="inlineStr">
        <is>
          <t>• Aba 'Resumo' usa este capability_score (Cell F15) para calcular pillar e overall.</t>
        </is>
      </c>
    </row>
  </sheetData>
  <mergeCells count="14">
    <mergeCell ref="A21:E21"/>
    <mergeCell ref="A2:F2"/>
    <mergeCell ref="A28:F28"/>
    <mergeCell ref="A20:E20"/>
    <mergeCell ref="A16:E16"/>
    <mergeCell ref="A15:E15"/>
    <mergeCell ref="A1:F1"/>
    <mergeCell ref="A29:F29"/>
    <mergeCell ref="A19:E19"/>
    <mergeCell ref="A27:F27"/>
    <mergeCell ref="A26:F26"/>
    <mergeCell ref="A30:F30"/>
    <mergeCell ref="A22:E22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24" customWidth="1" min="4" max="4"/>
    <col width="9" customWidth="1" min="5" max="5"/>
    <col width="14" customWidth="1" min="6" max="6"/>
  </cols>
  <sheetData>
    <row r="1">
      <c r="A1" s="6" t="inlineStr">
        <is>
          <t>P3 · P3-C5 — Aplicações Agênticas</t>
        </is>
      </c>
    </row>
    <row r="2">
      <c r="A2" s="2" t="inlineStr">
        <is>
          <t>Pillar: Plataforma de Aplicações</t>
        </is>
      </c>
    </row>
    <row r="3"/>
    <row r="4">
      <c r="A4" s="7" t="inlineStr">
        <is>
          <t>ID Questão</t>
        </is>
      </c>
      <c r="B4" s="7" t="inlineStr">
        <is>
          <t>Pergunta (PT-BR)</t>
        </is>
      </c>
      <c r="C4" s="7" t="inlineStr">
        <is>
          <t>Nível (0-4)</t>
        </is>
      </c>
      <c r="D4" s="7" t="inlineStr">
        <is>
          <t>Rótulo</t>
        </is>
      </c>
      <c r="E4" s="7" t="inlineStr">
        <is>
          <t>Peso</t>
        </is>
      </c>
      <c r="F4" s="7" t="inlineStr">
        <is>
          <t>Nível × Peso</t>
        </is>
      </c>
    </row>
    <row r="5" ht="32" customHeight="1">
      <c r="A5" s="8" t="inlineStr">
        <is>
          <t>P3-C5-Q1</t>
        </is>
      </c>
      <c r="B5" s="5" t="inlineStr">
        <is>
          <t>Em que medida Aplicações Agênticas (agents with tool-use in prod) foi adotado entre as equipes?</t>
        </is>
      </c>
      <c r="C5" s="9" t="n">
        <v>1</v>
      </c>
      <c r="D5" s="13">
        <f>IF(C5="","—",IF(C5&lt;0.5,"L0 — Inicial",IF(C5&lt;1.5,"L1 — Em Desenvolvimento",IF(C5&lt;2.5,"L2 — Definido",IF(C5&lt;3.5,"L3 — Gerenciado","L4 — Otimizando")))))</f>
        <v/>
      </c>
      <c r="E5" s="11" t="n">
        <v>1</v>
      </c>
      <c r="F5" s="12">
        <f>IF(C5="",0,C5*E5)</f>
        <v/>
      </c>
    </row>
    <row r="6" ht="32" customHeight="1">
      <c r="A6" s="8" t="inlineStr">
        <is>
          <t>P3-C5-Q2</t>
        </is>
      </c>
      <c r="B6" s="5" t="inlineStr">
        <is>
          <t>Em que medida Aplicações Agênticas (orchestration framework (Semantic Kernel, etc)) foi adotado entre as equipes?</t>
        </is>
      </c>
      <c r="C6" s="9" t="n">
        <v>1</v>
      </c>
      <c r="D6" s="14">
        <f>IF(C6="","—",IF(C6&lt;0.5,"L0 — Inicial",IF(C6&lt;1.5,"L1 — Em Desenvolvimento",IF(C6&lt;2.5,"L2 — Definido",IF(C6&lt;3.5,"L3 — Gerenciado","L4 — Otimizando")))))</f>
        <v/>
      </c>
      <c r="E6" s="11" t="n">
        <v>1</v>
      </c>
      <c r="F6" s="12">
        <f>IF(C6="",0,C6*E6)</f>
        <v/>
      </c>
    </row>
    <row r="7" ht="32" customHeight="1">
      <c r="A7" s="8" t="inlineStr">
        <is>
          <t>P3-C5-Q3</t>
        </is>
      </c>
      <c r="B7" s="5" t="inlineStr">
        <is>
          <t>Em que medida Aplicações Agênticas (evaluation and safety for agents) foi adotado entre as equipes?</t>
        </is>
      </c>
      <c r="C7" s="9" t="n">
        <v>2</v>
      </c>
      <c r="D7" s="10">
        <f>IF(C7="","—",IF(C7&lt;0.5,"L0 — Inicial",IF(C7&lt;1.5,"L1 — Em Desenvolvimento",IF(C7&lt;2.5,"L2 — Definido",IF(C7&lt;3.5,"L3 — Gerenciado","L4 — Otimizando")))))</f>
        <v/>
      </c>
      <c r="E7" s="11" t="n">
        <v>1</v>
      </c>
      <c r="F7" s="12">
        <f>IF(C7="",0,C7*E7)</f>
        <v/>
      </c>
    </row>
    <row r="8" ht="32" customHeight="1">
      <c r="A8" s="8" t="inlineStr">
        <is>
          <t>P3-C5-Q4</t>
        </is>
      </c>
      <c r="B8" s="5" t="inlineStr">
        <is>
          <t>Em que medida Aplicações Agênticas (tool/action registry) foi adotado entre as equipes?</t>
        </is>
      </c>
      <c r="C8" s="9" t="n">
        <v>0</v>
      </c>
      <c r="D8" s="14">
        <f>IF(C8="","—",IF(C8&lt;0.5,"L0 — Inicial",IF(C8&lt;1.5,"L1 — Em Desenvolvimento",IF(C8&lt;2.5,"L2 — Definido",IF(C8&lt;3.5,"L3 — Gerenciado","L4 — Otimizando")))))</f>
        <v/>
      </c>
      <c r="E8" s="11" t="n">
        <v>1</v>
      </c>
      <c r="F8" s="12">
        <f>IF(C8="",0,C8*E8)</f>
        <v/>
      </c>
    </row>
    <row r="9" ht="32" customHeight="1">
      <c r="A9" s="8" t="inlineStr">
        <is>
          <t>P3-C5-Q5</t>
        </is>
      </c>
      <c r="B9" s="5" t="inlineStr">
        <is>
          <t>Em que medida Aplicações Agênticas (human-in-the-loop controls) foi adotado entre as equipes?</t>
        </is>
      </c>
      <c r="C9" s="9" t="n">
        <v>1</v>
      </c>
      <c r="D9" s="13">
        <f>IF(C9="","—",IF(C9&lt;0.5,"L0 — Inicial",IF(C9&lt;1.5,"L1 — Em Desenvolvimento",IF(C9&lt;2.5,"L2 — Definido",IF(C9&lt;3.5,"L3 — Gerenciado","L4 — Otimizando")))))</f>
        <v/>
      </c>
      <c r="E9" s="11" t="n">
        <v>1</v>
      </c>
      <c r="F9" s="12">
        <f>IF(C9="",0,C9*E9)</f>
        <v/>
      </c>
    </row>
    <row r="10" ht="32" customHeight="1">
      <c r="A10" s="8" t="inlineStr">
        <is>
          <t>P3-C5-Q6</t>
        </is>
      </c>
      <c r="B10" s="5" t="inlineStr">
        <is>
          <t>Em que medida Aplicações Agênticas (agent cost and latency telemetry) foi adotado entre as equipes?</t>
        </is>
      </c>
      <c r="C10" s="9" t="n">
        <v>0</v>
      </c>
      <c r="D10" s="14">
        <f>IF(C10="","—",IF(C10&lt;0.5,"L0 — Inicial",IF(C10&lt;1.5,"L1 — Em Desenvolvimento",IF(C10&lt;2.5,"L2 — Definido",IF(C10&lt;3.5,"L3 — Gerenciado","L4 — Otimizando")))))</f>
        <v/>
      </c>
      <c r="E10" s="11" t="n">
        <v>1</v>
      </c>
      <c r="F10" s="12">
        <f>IF(C10="",0,C10*E10)</f>
        <v/>
      </c>
    </row>
    <row r="11"/>
    <row r="12">
      <c r="A12" s="15" t="inlineStr">
        <is>
          <t>Σ(Nível × Peso)</t>
        </is>
      </c>
      <c r="F12" s="16">
        <f>SUMPRODUCT(C5:C10,E5:E10)</f>
        <v/>
      </c>
    </row>
    <row r="13">
      <c r="A13" s="15" t="inlineStr">
        <is>
          <t>Σ(Peso)</t>
        </is>
      </c>
      <c r="F13" s="16">
        <f>SUMPRODUCT(ISNUMBER(C5:C10)*E5:E10)</f>
        <v/>
      </c>
    </row>
    <row r="14"/>
    <row r="15">
      <c r="A15" s="17" t="inlineStr">
        <is>
          <t>CAPABILITY SCORE</t>
        </is>
      </c>
      <c r="F15" s="18">
        <f>IF(F13=0,"",F12/F13)</f>
        <v/>
      </c>
    </row>
    <row r="16">
      <c r="A16" s="15" t="inlineStr">
        <is>
          <t>Rótulo de maturidade</t>
        </is>
      </c>
      <c r="F16" s="19">
        <f>IF(F15="","—",IF(F15&lt;0.5,"L0 — Inicial",IF(F15&lt;1.5,"L1 — Em Desenvolvimento",IF(F15&lt;2.5,"L2 — Definido",IF(F15&lt;3.5,"L3 — Gerenciado","L4 — Otimizando")))))</f>
        <v/>
      </c>
    </row>
    <row r="17"/>
    <row r="18">
      <c r="A18" s="15" t="inlineStr">
        <is>
          <t>Target level</t>
        </is>
      </c>
      <c r="F18" s="20" t="n">
        <v>4</v>
      </c>
    </row>
    <row r="19">
      <c r="A19" s="15" t="inlineStr">
        <is>
          <t>gap_size = target − current</t>
        </is>
      </c>
      <c r="F19" s="20">
        <f>IF(F15="","",MAX(0,F18-F15))</f>
        <v/>
      </c>
    </row>
    <row r="20">
      <c r="A20" s="15" t="inlineStr">
        <is>
          <t>Peso da capability</t>
        </is>
      </c>
      <c r="F20" s="11" t="n">
        <v>1</v>
      </c>
    </row>
    <row r="21">
      <c r="A21" s="15" t="inlineStr">
        <is>
          <t>priority_score = peso × gap</t>
        </is>
      </c>
      <c r="F21" s="21">
        <f>IF(F19="","",F20*F19)</f>
        <v/>
      </c>
    </row>
    <row r="22">
      <c r="A22" s="15" t="inlineStr">
        <is>
          <t>Prioridade</t>
        </is>
      </c>
      <c r="F22" s="22">
        <f>IF(F21="","",IF(F21&gt;=2.4,"P0 — Crítico",IF(F21&gt;=1.6,"P1 — Alto",IF(F21&gt;=0.9,"P2 — Médio","P3 — Baixo"))))</f>
        <v/>
      </c>
    </row>
    <row r="23"/>
    <row r="24"/>
    <row r="25">
      <c r="A25" s="23" t="inlineStr">
        <is>
          <t>Como ler:</t>
        </is>
      </c>
    </row>
    <row r="26">
      <c r="A26" s="24" t="inlineStr">
        <is>
          <t>• Células AMARELAS são editáveis — mude nível, peso da questão, peso da capability ou target.</t>
        </is>
      </c>
    </row>
    <row r="27">
      <c r="A27" s="24" t="inlineStr">
        <is>
          <t>• Células AZUIS recalculam automaticamente (nível × peso, somatórios).</t>
        </is>
      </c>
    </row>
    <row r="28">
      <c r="A28" s="24" t="inlineStr">
        <is>
          <t>• Célula VERDE é o resultado final da capability (com rótulo L0–L4 abaixo).</t>
        </is>
      </c>
    </row>
    <row r="29">
      <c r="A29" s="24" t="inlineStr">
        <is>
          <t>• Células ROSA mostram gap analysis (target, gap, priority_score, prioridade P0–P3).</t>
        </is>
      </c>
    </row>
    <row r="30">
      <c r="A30" s="24" t="inlineStr">
        <is>
          <t>• Aba 'Resumo' usa este capability_score (Cell F15) para calcular pillar e overall.</t>
        </is>
      </c>
    </row>
  </sheetData>
  <mergeCells count="14">
    <mergeCell ref="A21:E21"/>
    <mergeCell ref="A2:F2"/>
    <mergeCell ref="A28:F28"/>
    <mergeCell ref="A20:E20"/>
    <mergeCell ref="A16:E16"/>
    <mergeCell ref="A15:E15"/>
    <mergeCell ref="A1:F1"/>
    <mergeCell ref="A29:F29"/>
    <mergeCell ref="A19:E19"/>
    <mergeCell ref="A27:F27"/>
    <mergeCell ref="A26:F26"/>
    <mergeCell ref="A30:F30"/>
    <mergeCell ref="A22:E22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B1" s="25" t="inlineStr">
        <is>
          <t>Resumo de Pontuação — Combinando os 3 exemplos</t>
        </is>
      </c>
    </row>
    <row r="2">
      <c r="B2" s="2" t="inlineStr">
        <is>
          <t>Pillar score = SUMPRODUCT(capability × peso) / SUM(peso). Overall = SUMPRODUCT sobre TODAS capabilities.</t>
        </is>
      </c>
    </row>
    <row r="3"/>
    <row r="4">
      <c r="B4" s="7" t="inlineStr">
        <is>
          <t>Pillar</t>
        </is>
      </c>
      <c r="C4" s="7" t="inlineStr">
        <is>
          <t>Capability</t>
        </is>
      </c>
      <c r="D4" s="7" t="inlineStr">
        <is>
          <t>Capability Score</t>
        </is>
      </c>
      <c r="E4" s="7" t="inlineStr">
        <is>
          <t>Peso Capability</t>
        </is>
      </c>
      <c r="F4" s="7" t="inlineStr">
        <is>
          <t>score × peso</t>
        </is>
      </c>
      <c r="G4" s="7" t="inlineStr">
        <is>
          <t>Target</t>
        </is>
      </c>
      <c r="H4" s="7" t="inlineStr">
        <is>
          <t>Gap</t>
        </is>
      </c>
      <c r="I4" s="7" t="inlineStr">
        <is>
          <t>Priority</t>
        </is>
      </c>
    </row>
    <row r="5" ht="28" customHeight="1">
      <c r="B5" s="26" t="inlineStr">
        <is>
          <t>P1</t>
        </is>
      </c>
      <c r="C5" s="27" t="inlineStr">
        <is>
          <t>P1-C1 — Assistentes de Codificação IA</t>
        </is>
      </c>
      <c r="D5" s="28">
        <f>IFERROR('Exemplo P1 (P1-C1)'!F14,"")</f>
        <v/>
      </c>
      <c r="E5" s="12">
        <f>'Exemplo P1 (P1-C1)'!F19</f>
        <v/>
      </c>
      <c r="F5" s="12">
        <f>IF(D5="",0,D5*E5)</f>
        <v/>
      </c>
      <c r="G5" s="11" t="n">
        <v>4</v>
      </c>
      <c r="H5" s="20">
        <f>IF(D5="","",MAX(0,G5-D5))</f>
        <v/>
      </c>
      <c r="I5" s="22">
        <f>IF(H5="","",IF(E5*H5&gt;=2.4,"P0",IF(E5*H5&gt;=1.6,"P1",IF(E5*H5&gt;=0.9,"P2","P3"))))</f>
        <v/>
      </c>
    </row>
    <row r="6" ht="28" customHeight="1">
      <c r="B6" s="26" t="inlineStr">
        <is>
          <t>P2</t>
        </is>
      </c>
      <c r="C6" s="27" t="inlineStr">
        <is>
          <t>P2-C1 — Inteligência de Pipeline CI/CD</t>
        </is>
      </c>
      <c r="D6" s="28">
        <f>IFERROR('Exemplo P2 (P2-C1)'!F15,"")</f>
        <v/>
      </c>
      <c r="E6" s="12">
        <f>'Exemplo P2 (P2-C1)'!F20</f>
        <v/>
      </c>
      <c r="F6" s="12">
        <f>IF(D6="",0,D6*E6)</f>
        <v/>
      </c>
      <c r="G6" s="11" t="n">
        <v>3</v>
      </c>
      <c r="H6" s="20">
        <f>IF(D6="","",MAX(0,G6-D6))</f>
        <v/>
      </c>
      <c r="I6" s="22">
        <f>IF(H6="","",IF(E6*H6&gt;=2.4,"P0",IF(E6*H6&gt;=1.6,"P1",IF(E6*H6&gt;=0.9,"P2","P3"))))</f>
        <v/>
      </c>
    </row>
    <row r="7" ht="28" customHeight="1">
      <c r="B7" s="26" t="inlineStr">
        <is>
          <t>P3</t>
        </is>
      </c>
      <c r="C7" s="27" t="inlineStr">
        <is>
          <t>P3-C5 — Aplicações Agênticas</t>
        </is>
      </c>
      <c r="D7" s="28">
        <f>IFERROR('Exemplo P3 (P3-C5)'!F15,"")</f>
        <v/>
      </c>
      <c r="E7" s="12">
        <f>'Exemplo P3 (P3-C5)'!F20</f>
        <v/>
      </c>
      <c r="F7" s="12">
        <f>IF(D7="",0,D7*E7)</f>
        <v/>
      </c>
      <c r="G7" s="11" t="n">
        <v>4</v>
      </c>
      <c r="H7" s="20">
        <f>IF(D7="","",MAX(0,G7-D7))</f>
        <v/>
      </c>
      <c r="I7" s="22">
        <f>IF(H7="","",IF(E7*H7&gt;=2.4,"P0",IF(E7*H7&gt;=1.6,"P1",IF(E7*H7&gt;=0.9,"P2","P3"))))</f>
        <v/>
      </c>
    </row>
    <row r="8"/>
    <row r="9"/>
    <row r="10">
      <c r="B10" s="29" t="inlineStr">
        <is>
          <t>Pillar Scores</t>
        </is>
      </c>
    </row>
    <row r="11">
      <c r="B11" s="15" t="inlineStr">
        <is>
          <t>P1</t>
        </is>
      </c>
      <c r="C11" t="inlineStr">
        <is>
          <t>P1 — Produtividade do Desenvolvedor</t>
        </is>
      </c>
      <c r="D11" s="30">
        <f>IFERROR(F5/E5,"")</f>
        <v/>
      </c>
      <c r="E11" s="19">
        <f>IF(D11&lt;0.5,"L0",IF(D11&lt;1.5,"L1",IF(D11&lt;2.5,"L2",IF(D11&lt;3.5,"L3","L4"))))</f>
        <v/>
      </c>
    </row>
    <row r="12">
      <c r="B12" s="15" t="inlineStr">
        <is>
          <t>P2</t>
        </is>
      </c>
      <c r="C12" t="inlineStr">
        <is>
          <t>P2 — Ciclo de Vida DevOps</t>
        </is>
      </c>
      <c r="D12" s="30">
        <f>IFERROR(F6/E6,"")</f>
        <v/>
      </c>
      <c r="E12" s="19">
        <f>IF(D12&lt;0.5,"L0",IF(D12&lt;1.5,"L1",IF(D12&lt;2.5,"L2",IF(D12&lt;3.5,"L3","L4"))))</f>
        <v/>
      </c>
    </row>
    <row r="13">
      <c r="B13" s="15" t="inlineStr">
        <is>
          <t>P3</t>
        </is>
      </c>
      <c r="C13" t="inlineStr">
        <is>
          <t>P3 — Plataforma de Aplicações</t>
        </is>
      </c>
      <c r="D13" s="30">
        <f>IFERROR(F7/E7,"")</f>
        <v/>
      </c>
      <c r="E13" s="19">
        <f>IF(D13&lt;0.5,"L0",IF(D13&lt;1.5,"L1",IF(D13&lt;2.5,"L2",IF(D13&lt;3.5,"L3","L4"))))</f>
        <v/>
      </c>
    </row>
    <row r="14"/>
    <row r="15" ht="32" customHeight="1">
      <c r="B15" s="31" t="inlineStr">
        <is>
          <t>OVERALL SCORE</t>
        </is>
      </c>
      <c r="D15" s="32">
        <f>IFERROR(SUMPRODUCT(D5:D7,E5:E7)/SUM(E5:E7),"")</f>
        <v/>
      </c>
      <c r="E15" s="33">
        <f>IF(D15&lt;0.5,"L0 — Inicial",IF(D15&lt;1.5,"L1 — Em Desenvolvimento",IF(D15&lt;2.5,"L2 — Definido",IF(D15&lt;3.5,"L3 — Gerenciado","L4 — Otimizando"))))</f>
        <v/>
      </c>
      <c r="F15" s="34" t="n"/>
      <c r="G15" s="34" t="n"/>
      <c r="H15" s="34" t="n"/>
      <c r="I15" s="35" t="n"/>
    </row>
    <row r="16"/>
    <row r="17"/>
    <row r="18">
      <c r="B18" s="36" t="inlineStr">
        <is>
          <t>Fórmulas usadas:</t>
        </is>
      </c>
    </row>
    <row r="19">
      <c r="B19" s="36" t="inlineStr">
        <is>
          <t xml:space="preserve">   • Pillar score (1 cap por pillar nesta demo): = score × peso / peso  (no caso real: SUMPRODUCT sobre todas as capabilities do pillar)</t>
        </is>
      </c>
    </row>
    <row r="20">
      <c r="B20" s="36" t="inlineStr">
        <is>
          <t xml:space="preserve">   • Overall: =SUMPRODUCT(D5:D7; E5:E7) / SUM(E5:E7)</t>
        </is>
      </c>
    </row>
    <row r="21">
      <c r="B21" s="36" t="inlineStr"/>
    </row>
    <row r="22">
      <c r="B22" s="36" t="inlineStr">
        <is>
          <t>Observação:</t>
        </is>
      </c>
    </row>
    <row r="23">
      <c r="B23" s="36" t="inlineStr">
        <is>
          <t xml:space="preserve">   • Na plataforma real, cada pillar tem ~9-10 capabilities. O Overall NÃO é média dos 3 pillars — é SUMPRODUCT direto.</t>
        </is>
      </c>
    </row>
    <row r="24">
      <c r="B24" s="36" t="inlineStr">
        <is>
          <t xml:space="preserve">   • Capabilities sem nenhuma resposta (capability_score = NULL) são ignoradas no Overall e no Pillar.</t>
        </is>
      </c>
    </row>
    <row r="25">
      <c r="B25" s="36" t="inlineStr">
        <is>
          <t xml:space="preserve">   • Pesos default são 1.0 (range permitido [0.5, 2.0]).</t>
        </is>
      </c>
    </row>
  </sheetData>
  <mergeCells count="13">
    <mergeCell ref="B18:I18"/>
    <mergeCell ref="B21:I21"/>
    <mergeCell ref="E15:I15"/>
    <mergeCell ref="B15:C15"/>
    <mergeCell ref="B1:H1"/>
    <mergeCell ref="B25:I25"/>
    <mergeCell ref="B24:I24"/>
    <mergeCell ref="B20:I20"/>
    <mergeCell ref="B10:I10"/>
    <mergeCell ref="B2:H2"/>
    <mergeCell ref="B19:I19"/>
    <mergeCell ref="B22:I22"/>
    <mergeCell ref="B23:I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Questão</t>
        </is>
      </c>
      <c r="B1" t="inlineStr">
        <is>
          <t>Pilar</t>
        </is>
      </c>
      <c r="C1" t="inlineStr">
        <is>
          <t>Capability</t>
        </is>
      </c>
      <c r="D1" t="inlineStr">
        <is>
          <t>Pergunta</t>
        </is>
      </c>
      <c r="E1" t="inlineStr">
        <is>
          <t>Nível (0-4)</t>
        </is>
      </c>
      <c r="F1" t="inlineStr">
        <is>
          <t>Peso</t>
        </is>
      </c>
      <c r="G1" t="inlineStr">
        <is>
          <t>Respondida</t>
        </is>
      </c>
      <c r="H1" t="inlineStr">
        <is>
          <t>Nível × Peso</t>
        </is>
      </c>
      <c r="I1" t="inlineStr">
        <is>
          <t>Rótulo</t>
        </is>
      </c>
      <c r="J1" t="inlineStr">
        <is>
          <t>Evidência</t>
        </is>
      </c>
    </row>
    <row r="2">
      <c r="A2" t="inlineStr">
        <is>
          <t>P1-C1-Q1</t>
        </is>
      </c>
      <c r="B2" t="inlineStr">
        <is>
          <t>P1</t>
        </is>
      </c>
      <c r="C2" t="inlineStr">
        <is>
          <t>P1-C1</t>
        </is>
      </c>
      <c r="D2" t="inlineStr">
        <is>
          <t>Em que medida sua organização utiliza ferramentas de completação de código com IA (ex. GitHub Copilot)?</t>
        </is>
      </c>
      <c r="E2" t="n">
        <v>3</v>
      </c>
      <c r="F2" t="n">
        <v>1</v>
      </c>
      <c r="G2">
        <f>IF(E2="",0,1)</f>
        <v/>
      </c>
      <c r="H2">
        <f>IF(G2=1,E2*F2,0)</f>
        <v/>
      </c>
      <c r="I2">
        <f>IF(E2="","—",IF(E2&lt;0.5,"L0 — Inicial",IF(E2&lt;1.5,"L1 — Em Desenvolvimento",IF(E2&lt;2.5,"L2 — Definido",IF(E2&lt;3.5,"L3 — Gerenciado","L4 — Otimizando")))))</f>
        <v/>
      </c>
      <c r="J2" t="inlineStr">
        <is>
          <t>Cobertura de 80%+ com métricas mostrando ganhos consistentes (~20% velocidade).</t>
        </is>
      </c>
    </row>
    <row r="3">
      <c r="A3" t="inlineStr">
        <is>
          <t>P1-C1-Q2</t>
        </is>
      </c>
      <c r="B3" t="inlineStr">
        <is>
          <t>P1</t>
        </is>
      </c>
      <c r="C3" t="inlineStr">
        <is>
          <t>P1-C1</t>
        </is>
      </c>
      <c r="D3" t="inlineStr">
        <is>
          <t>Quão efetivamente sua equipe aproveita IA para revisão de código e melhoria de qualidade?</t>
        </is>
      </c>
      <c r="E3" t="n">
        <v>3</v>
      </c>
      <c r="F3" t="n">
        <v>1</v>
      </c>
      <c r="G3">
        <f>IF(E3="",0,1)</f>
        <v/>
      </c>
      <c r="H3">
        <f>IF(G3=1,E3*F3,0)</f>
        <v/>
      </c>
      <c r="I3">
        <f>IF(E3="","—",IF(E3&lt;0.5,"L0 — Inicial",IF(E3&lt;1.5,"L1 — Em Desenvolvimento",IF(E3&lt;2.5,"L2 — Definido",IF(E3&lt;3.5,"L3 — Gerenciado","L4 — Otimizando")))))</f>
        <v/>
      </c>
      <c r="J3" t="inlineStr">
        <is>
          <t>Programa maduro com ~85% cobertura, dashboards Grafana ativos e revisão trimestral.</t>
        </is>
      </c>
    </row>
    <row r="4">
      <c r="A4" t="inlineStr">
        <is>
          <t>P1-C1-Q3</t>
        </is>
      </c>
      <c r="B4" t="inlineStr">
        <is>
          <t>P1</t>
        </is>
      </c>
      <c r="C4" t="inlineStr">
        <is>
          <t>P1-C1</t>
        </is>
      </c>
      <c r="D4" t="inlineStr">
        <is>
          <t>Como sua organização mede e rastreia o impacto das ferramentas de codificação IA na produtividade?</t>
        </is>
      </c>
      <c r="E4" t="n">
        <v>2</v>
      </c>
      <c r="F4" t="n">
        <v>0.8</v>
      </c>
      <c r="G4">
        <f>IF(E4="",0,1)</f>
        <v/>
      </c>
      <c r="H4">
        <f>IF(G4=1,E4*F4,0)</f>
        <v/>
      </c>
      <c r="I4">
        <f>IF(E4="","—",IF(E4&lt;0.5,"L0 — Inicial",IF(E4&lt;1.5,"L1 — Em Desenvolvimento",IF(E4&lt;2.5,"L2 — Definido",IF(E4&lt;3.5,"L3 — Gerenciado","L4 — Otimizando")))))</f>
        <v/>
      </c>
      <c r="J4" t="inlineStr">
        <is>
          <t>Aproximadamente 45% de adoção, com workshops mensais e métricas iniciais.</t>
        </is>
      </c>
    </row>
    <row r="5">
      <c r="A5" t="inlineStr">
        <is>
          <t>P1-C1-Q4</t>
        </is>
      </c>
      <c r="B5" t="inlineStr">
        <is>
          <t>P1</t>
        </is>
      </c>
      <c r="C5" t="inlineStr">
        <is>
          <t>P1-C1</t>
        </is>
      </c>
      <c r="D5" t="inlineStr">
        <is>
          <t>Qual nível de capacidades de testes assistidos por IA sua organização emprega?</t>
        </is>
      </c>
      <c r="E5" t="n">
        <v>4</v>
      </c>
      <c r="F5" t="n">
        <v>1</v>
      </c>
      <c r="G5">
        <f>IF(E5="",0,1)</f>
        <v/>
      </c>
      <c r="H5">
        <f>IF(G5=1,E5*F5,0)</f>
        <v/>
      </c>
      <c r="I5">
        <f>IF(E5="","—",IF(E5&lt;0.5,"L0 — Inicial",IF(E5&lt;1.5,"L1 — Em Desenvolvimento",IF(E5&lt;2.5,"L2 — Definido",IF(E5&lt;3.5,"L3 — Gerenciado","L4 — Otimizando")))))</f>
        <v/>
      </c>
      <c r="J5" t="inlineStr">
        <is>
          <t>Adoção universal (&gt;95%) com fine-tuning customizado e ganhos medidos &gt;35%.</t>
        </is>
      </c>
    </row>
    <row r="6">
      <c r="A6" t="inlineStr">
        <is>
          <t>P1-C1-Q5</t>
        </is>
      </c>
      <c r="B6" t="inlineStr">
        <is>
          <t>P1</t>
        </is>
      </c>
      <c r="C6" t="inlineStr">
        <is>
          <t>P1-C1</t>
        </is>
      </c>
      <c r="D6" t="inlineStr">
        <is>
          <t>Como sua organização governa o código gerado por IA em termos de segurança e conformidade?</t>
        </is>
      </c>
      <c r="E6" t="n">
        <v>3</v>
      </c>
      <c r="F6" t="n">
        <v>1.1</v>
      </c>
      <c r="G6">
        <f>IF(E6="",0,1)</f>
        <v/>
      </c>
      <c r="H6">
        <f>IF(G6=1,E6*F6,0)</f>
        <v/>
      </c>
      <c r="I6">
        <f>IF(E6="","—",IF(E6&lt;0.5,"L0 — Inicial",IF(E6&lt;1.5,"L1 — Em Desenvolvimento",IF(E6&lt;2.5,"L2 — Definido",IF(E6&lt;3.5,"L3 — Gerenciado","L4 — Otimizando")))))</f>
        <v/>
      </c>
      <c r="J6" t="inlineStr">
        <is>
          <t>Adoção em mais de 75% dos squads; biblioteca de templates compartilhada e métricas DORA monitoradas.</t>
        </is>
      </c>
    </row>
    <row r="7">
      <c r="A7" t="inlineStr">
        <is>
          <t>P1-C2-Q1</t>
        </is>
      </c>
      <c r="B7" t="inlineStr">
        <is>
          <t>P1</t>
        </is>
      </c>
      <c r="C7" t="inlineStr">
        <is>
          <t>P1-C2</t>
        </is>
      </c>
      <c r="D7" t="inlineStr">
        <is>
          <t>Quão maduro é seu portal ou plataforma interna para desenvolvedores?</t>
        </is>
      </c>
      <c r="E7" t="n">
        <v>2</v>
      </c>
      <c r="F7" t="n">
        <v>1</v>
      </c>
      <c r="G7">
        <f>IF(E7="",0,1)</f>
        <v/>
      </c>
      <c r="H7">
        <f>IF(G7=1,E7*F7,0)</f>
        <v/>
      </c>
      <c r="I7">
        <f>IF(E7="","—",IF(E7&lt;0.5,"L0 — Inicial",IF(E7&lt;1.5,"L1 — Em Desenvolvimento",IF(E7&lt;2.5,"L2 — Definido",IF(E7&lt;3.5,"L3 — Gerenciado","L4 — Otimizando")))))</f>
        <v/>
      </c>
      <c r="J7" t="inlineStr">
        <is>
          <t>Implantação em 35% dos serviços; documentação publicada no Confluence interno.</t>
        </is>
      </c>
    </row>
    <row r="8">
      <c r="A8" t="inlineStr">
        <is>
          <t>P1-C2-Q2</t>
        </is>
      </c>
      <c r="B8" t="inlineStr">
        <is>
          <t>P1</t>
        </is>
      </c>
      <c r="C8" t="inlineStr">
        <is>
          <t>P1-C2</t>
        </is>
      </c>
      <c r="D8" t="inlineStr">
        <is>
          <t>Quão efetivamente suas equipes usam ambientes de desenvolvimento padronizados?</t>
        </is>
      </c>
      <c r="E8" t="n">
        <v>3</v>
      </c>
      <c r="F8" t="n">
        <v>0.9</v>
      </c>
      <c r="G8">
        <f>IF(E8="",0,1)</f>
        <v/>
      </c>
      <c r="H8">
        <f>IF(G8=1,E8*F8,0)</f>
        <v/>
      </c>
      <c r="I8">
        <f>IF(E8="","—",IF(E8&lt;0.5,"L0 — Inicial",IF(E8&lt;1.5,"L1 — Em Desenvolvimento",IF(E8&lt;2.5,"L2 — Definido",IF(E8&lt;3.5,"L3 — Gerenciado","L4 — Otimizando")))))</f>
        <v/>
      </c>
      <c r="J8" t="inlineStr">
        <is>
          <t>Adoção em mais de 75% dos squads; biblioteca de templates compartilhada e métricas DORA monitoradas.</t>
        </is>
      </c>
    </row>
    <row r="9">
      <c r="A9" t="inlineStr">
        <is>
          <t>P1-C2-Q3</t>
        </is>
      </c>
      <c r="B9" t="inlineStr">
        <is>
          <t>P1</t>
        </is>
      </c>
      <c r="C9" t="inlineStr">
        <is>
          <t>P1-C2</t>
        </is>
      </c>
      <c r="D9" t="inlineStr">
        <is>
          <t>Em que medida Plataforma de Experiência do Desenvolvedor (self-service IDP) foi adotado entre as equipes?</t>
        </is>
      </c>
      <c r="E9" t="n">
        <v>2</v>
      </c>
      <c r="F9" t="n">
        <v>1</v>
      </c>
      <c r="G9">
        <f>IF(E9="",0,1)</f>
        <v/>
      </c>
      <c r="H9">
        <f>IF(G9=1,E9*F9,0)</f>
        <v/>
      </c>
      <c r="I9">
        <f>IF(E9="","—",IF(E9&lt;0.5,"L0 — Inicial",IF(E9&lt;1.5,"L1 — Em Desenvolvimento",IF(E9&lt;2.5,"L2 — Definido",IF(E9&lt;3.5,"L3 — Gerenciado","L4 — Otimizando")))))</f>
        <v/>
      </c>
      <c r="J9" t="inlineStr">
        <is>
          <t>Implantação em 35% dos serviços; documentação publicada no Confluence interno.</t>
        </is>
      </c>
    </row>
    <row r="10">
      <c r="A10" t="inlineStr">
        <is>
          <t>P1-C2-Q4</t>
        </is>
      </c>
      <c r="B10" t="inlineStr">
        <is>
          <t>P1</t>
        </is>
      </c>
      <c r="C10" t="inlineStr">
        <is>
          <t>P1-C2</t>
        </is>
      </c>
      <c r="D10" t="inlineStr">
        <is>
          <t>Em que medida Plataforma de Experiência do Desenvolvedor (golden paths and templates) foi adotado entre as equipes?</t>
        </is>
      </c>
      <c r="E10" t="n">
        <v>3</v>
      </c>
      <c r="F10" t="n">
        <v>1</v>
      </c>
      <c r="G10">
        <f>IF(E10="",0,1)</f>
        <v/>
      </c>
      <c r="H10">
        <f>IF(G10=1,E10*F10,0)</f>
        <v/>
      </c>
      <c r="I10">
        <f>IF(E10="","—",IF(E10&lt;0.5,"L0 — Inicial",IF(E10&lt;1.5,"L1 — Em Desenvolvimento",IF(E10&lt;2.5,"L2 — Definido",IF(E10&lt;3.5,"L3 — Gerenciado","L4 — Otimizando")))))</f>
        <v/>
      </c>
      <c r="J10" t="inlineStr">
        <is>
          <t>Programa maduro com ~85% cobertura, dashboards Grafana ativos e revisão trimestral.</t>
        </is>
      </c>
    </row>
    <row r="11">
      <c r="A11" t="inlineStr">
        <is>
          <t>P1-C2-Q5</t>
        </is>
      </c>
      <c r="B11" t="inlineStr">
        <is>
          <t>P1</t>
        </is>
      </c>
      <c r="C11" t="inlineStr">
        <is>
          <t>P1-C2</t>
        </is>
      </c>
      <c r="D11" t="inlineStr">
        <is>
          <t>Em que medida Plataforma de Experiência do Desenvolvedor (developer portal) foi adotado entre as equipes?</t>
        </is>
      </c>
      <c r="F11" t="n">
        <v>1</v>
      </c>
      <c r="G11">
        <f>IF(E11="",0,1)</f>
        <v/>
      </c>
      <c r="H11">
        <f>IF(G11=1,E11*F11,0)</f>
        <v/>
      </c>
      <c r="I11">
        <f>IF(E11="","—",IF(E11&lt;0.5,"L0 — Inicial",IF(E11&lt;1.5,"L1 — Em Desenvolvimento",IF(E11&lt;2.5,"L2 — Definido",IF(E11&lt;3.5,"L3 — Gerenciado","L4 — Otimizando")))))</f>
        <v/>
      </c>
      <c r="J11" t="inlineStr"/>
    </row>
    <row r="12">
      <c r="A12" t="inlineStr">
        <is>
          <t>P1-C2-Q6</t>
        </is>
      </c>
      <c r="B12" t="inlineStr">
        <is>
          <t>P1</t>
        </is>
      </c>
      <c r="C12" t="inlineStr">
        <is>
          <t>P1-C2</t>
        </is>
      </c>
      <c r="D12" t="inlineStr">
        <is>
          <t>Em que medida Plataforma de Experiência do Desenvolvedor (paved road policy enforcement) foi adotado entre as equipes?</t>
        </is>
      </c>
      <c r="F12" t="n">
        <v>1</v>
      </c>
      <c r="G12">
        <f>IF(E12="",0,1)</f>
        <v/>
      </c>
      <c r="H12">
        <f>IF(G12=1,E12*F12,0)</f>
        <v/>
      </c>
      <c r="I12">
        <f>IF(E12="","—",IF(E12&lt;0.5,"L0 — Inicial",IF(E12&lt;1.5,"L1 — Em Desenvolvimento",IF(E12&lt;2.5,"L2 — Definido",IF(E12&lt;3.5,"L3 — Gerenciado","L4 — Otimizando")))))</f>
        <v/>
      </c>
      <c r="J12" t="inlineStr"/>
    </row>
    <row r="13">
      <c r="A13" t="inlineStr">
        <is>
          <t>P1-C3-Q1</t>
        </is>
      </c>
      <c r="B13" t="inlineStr">
        <is>
          <t>P1</t>
        </is>
      </c>
      <c r="C13" t="inlineStr">
        <is>
          <t>P1-C3</t>
        </is>
      </c>
      <c r="D13" t="inlineStr">
        <is>
          <t>Quão efetivamente sua organização captura e compartilha conhecimento de desenvolvimento?</t>
        </is>
      </c>
      <c r="F13" t="n">
        <v>1</v>
      </c>
      <c r="G13">
        <f>IF(E13="",0,1)</f>
        <v/>
      </c>
      <c r="H13">
        <f>IF(G13=1,E13*F13,0)</f>
        <v/>
      </c>
      <c r="I13">
        <f>IF(E13="","—",IF(E13&lt;0.5,"L0 — Inicial",IF(E13&lt;1.5,"L1 — Em Desenvolvimento",IF(E13&lt;2.5,"L2 — Definido",IF(E13&lt;3.5,"L3 — Gerenciado","L4 — Otimizando")))))</f>
        <v/>
      </c>
      <c r="J13" t="inlineStr"/>
    </row>
    <row r="14">
      <c r="A14" t="inlineStr">
        <is>
          <t>P1-C3-Q2</t>
        </is>
      </c>
      <c r="B14" t="inlineStr">
        <is>
          <t>P1</t>
        </is>
      </c>
      <c r="C14" t="inlineStr">
        <is>
          <t>P1-C3</t>
        </is>
      </c>
      <c r="D14" t="inlineStr">
        <is>
          <t>Em que medida Gestão do Conhecimento (semantic code search) foi adotado entre as equipes?</t>
        </is>
      </c>
      <c r="F14" t="n">
        <v>1</v>
      </c>
      <c r="G14">
        <f>IF(E14="",0,1)</f>
        <v/>
      </c>
      <c r="H14">
        <f>IF(G14=1,E14*F14,0)</f>
        <v/>
      </c>
      <c r="I14">
        <f>IF(E14="","—",IF(E14&lt;0.5,"L0 — Inicial",IF(E14&lt;1.5,"L1 — Em Desenvolvimento",IF(E14&lt;2.5,"L2 — Definido",IF(E14&lt;3.5,"L3 — Gerenciado","L4 — Otimizando")))))</f>
        <v/>
      </c>
      <c r="J14" t="inlineStr"/>
    </row>
    <row r="15">
      <c r="A15" t="inlineStr">
        <is>
          <t>P1-C3-Q3</t>
        </is>
      </c>
      <c r="B15" t="inlineStr">
        <is>
          <t>P1</t>
        </is>
      </c>
      <c r="C15" t="inlineStr">
        <is>
          <t>P1-C3</t>
        </is>
      </c>
      <c r="D15" t="inlineStr">
        <is>
          <t>Em que medida Gestão do Conhecimento (RAG-based docs assistant) foi adotado entre as equipes?</t>
        </is>
      </c>
      <c r="F15" t="n">
        <v>1</v>
      </c>
      <c r="G15">
        <f>IF(E15="",0,1)</f>
        <v/>
      </c>
      <c r="H15">
        <f>IF(G15=1,E15*F15,0)</f>
        <v/>
      </c>
      <c r="I15">
        <f>IF(E15="","—",IF(E15&lt;0.5,"L0 — Inicial",IF(E15&lt;1.5,"L1 — Em Desenvolvimento",IF(E15&lt;2.5,"L2 — Definido",IF(E15&lt;3.5,"L3 — Gerenciado","L4 — Otimizando")))))</f>
        <v/>
      </c>
      <c r="J15" t="inlineStr"/>
    </row>
    <row r="16">
      <c r="A16" t="inlineStr">
        <is>
          <t>P1-C3-Q4</t>
        </is>
      </c>
      <c r="B16" t="inlineStr">
        <is>
          <t>P1</t>
        </is>
      </c>
      <c r="C16" t="inlineStr">
        <is>
          <t>P1-C3</t>
        </is>
      </c>
      <c r="D16" t="inlineStr">
        <is>
          <t>Em que medida Gestão do Conhecimento (runbook and playbook coverage) foi adotado entre as equipes?</t>
        </is>
      </c>
      <c r="F16" t="n">
        <v>1</v>
      </c>
      <c r="G16">
        <f>IF(E16="",0,1)</f>
        <v/>
      </c>
      <c r="H16">
        <f>IF(G16=1,E16*F16,0)</f>
        <v/>
      </c>
      <c r="I16">
        <f>IF(E16="","—",IF(E16&lt;0.5,"L0 — Inicial",IF(E16&lt;1.5,"L1 — Em Desenvolvimento",IF(E16&lt;2.5,"L2 — Definido",IF(E16&lt;3.5,"L3 — Gerenciado","L4 — Otimizando")))))</f>
        <v/>
      </c>
      <c r="J16" t="inlineStr"/>
    </row>
    <row r="17">
      <c r="A17" t="inlineStr">
        <is>
          <t>P1-C3-Q5</t>
        </is>
      </c>
      <c r="B17" t="inlineStr">
        <is>
          <t>P1</t>
        </is>
      </c>
      <c r="C17" t="inlineStr">
        <is>
          <t>P1-C3</t>
        </is>
      </c>
      <c r="D17" t="inlineStr">
        <is>
          <t>Em que medida Gestão do Conhecimento (ADR (architecture decision records)) foi adotado entre as equipes?</t>
        </is>
      </c>
      <c r="F17" t="n">
        <v>1</v>
      </c>
      <c r="G17">
        <f>IF(E17="",0,1)</f>
        <v/>
      </c>
      <c r="H17">
        <f>IF(G17=1,E17*F17,0)</f>
        <v/>
      </c>
      <c r="I17">
        <f>IF(E17="","—",IF(E17&lt;0.5,"L0 — Inicial",IF(E17&lt;1.5,"L1 — Em Desenvolvimento",IF(E17&lt;2.5,"L2 — Definido",IF(E17&lt;3.5,"L3 — Gerenciado","L4 — Otimizando")))))</f>
        <v/>
      </c>
      <c r="J17" t="inlineStr"/>
    </row>
    <row r="18">
      <c r="A18" t="inlineStr">
        <is>
          <t>P1-C3-Q6</t>
        </is>
      </c>
      <c r="B18" t="inlineStr">
        <is>
          <t>P1</t>
        </is>
      </c>
      <c r="C18" t="inlineStr">
        <is>
          <t>P1-C3</t>
        </is>
      </c>
      <c r="D18" t="inlineStr">
        <is>
          <t>Em que medida Gestão do Conhecimento (learning content &amp; curated paths) foi adotado entre as equipes?</t>
        </is>
      </c>
      <c r="F18" t="n">
        <v>1</v>
      </c>
      <c r="G18">
        <f>IF(E18="",0,1)</f>
        <v/>
      </c>
      <c r="H18">
        <f>IF(G18=1,E18*F18,0)</f>
        <v/>
      </c>
      <c r="I18">
        <f>IF(E18="","—",IF(E18&lt;0.5,"L0 — Inicial",IF(E18&lt;1.5,"L1 — Em Desenvolvimento",IF(E18&lt;2.5,"L2 — Definido",IF(E18&lt;3.5,"L3 — Gerenciado","L4 — Otimizando")))))</f>
        <v/>
      </c>
      <c r="J18" t="inlineStr"/>
    </row>
    <row r="19">
      <c r="A19" t="inlineStr">
        <is>
          <t>P1-C4-Q1</t>
        </is>
      </c>
      <c r="B19" t="inlineStr">
        <is>
          <t>P1</t>
        </is>
      </c>
      <c r="C19" t="inlineStr">
        <is>
          <t>P1-C4</t>
        </is>
      </c>
      <c r="D19" t="inlineStr">
        <is>
          <t>Em que medida Automação de Revisão de Código (AI reviewer bot on every PR) foi adotado entre as equipes?</t>
        </is>
      </c>
      <c r="E19" t="n">
        <v>3</v>
      </c>
      <c r="F19" t="n">
        <v>1</v>
      </c>
      <c r="G19">
        <f>IF(E19="",0,1)</f>
        <v/>
      </c>
      <c r="H19">
        <f>IF(G19=1,E19*F19,0)</f>
        <v/>
      </c>
      <c r="I19">
        <f>IF(E19="","—",IF(E19&lt;0.5,"L0 — Inicial",IF(E19&lt;1.5,"L1 — Em Desenvolvimento",IF(E19&lt;2.5,"L2 — Definido",IF(E19&lt;3.5,"L3 — Gerenciado","L4 — Otimizando")))))</f>
        <v/>
      </c>
      <c r="J19" t="inlineStr">
        <is>
          <t>Programa maduro com ~85% cobertura, dashboards Grafana ativos e revisão trimestral.</t>
        </is>
      </c>
    </row>
    <row r="20">
      <c r="A20" t="inlineStr">
        <is>
          <t>P1-C4-Q2</t>
        </is>
      </c>
      <c r="B20" t="inlineStr">
        <is>
          <t>P1</t>
        </is>
      </c>
      <c r="C20" t="inlineStr">
        <is>
          <t>P1-C4</t>
        </is>
      </c>
      <c r="D20" t="inlineStr">
        <is>
          <t>Em que medida Automação de Revisão de Código (static linting and style auto-fix) foi adotado entre as equipes?</t>
        </is>
      </c>
      <c r="E20" t="n">
        <v>2</v>
      </c>
      <c r="F20" t="n">
        <v>1</v>
      </c>
      <c r="G20">
        <f>IF(E20="",0,1)</f>
        <v/>
      </c>
      <c r="H20">
        <f>IF(G20=1,E20*F20,0)</f>
        <v/>
      </c>
      <c r="I20">
        <f>IF(E20="","—",IF(E20&lt;0.5,"L0 — Inicial",IF(E20&lt;1.5,"L1 — Em Desenvolvimento",IF(E20&lt;2.5,"L2 — Definido",IF(E20&lt;3.5,"L3 — Gerenciado","L4 — Otimizando")))))</f>
        <v/>
      </c>
      <c r="J20" t="inlineStr">
        <is>
          <t>Cobertura de ~40% das equipes com diretrizes escritas e treinamento básico.</t>
        </is>
      </c>
    </row>
    <row r="21">
      <c r="A21" t="inlineStr">
        <is>
          <t>P1-C4-Q3</t>
        </is>
      </c>
      <c r="B21" t="inlineStr">
        <is>
          <t>P1</t>
        </is>
      </c>
      <c r="C21" t="inlineStr">
        <is>
          <t>P1-C4</t>
        </is>
      </c>
      <c r="D21" t="inlineStr">
        <is>
          <t>Em que medida Automação de Revisão de Código (automated security review) foi adotado entre as equipes?</t>
        </is>
      </c>
      <c r="E21" t="n">
        <v>3</v>
      </c>
      <c r="F21" t="n">
        <v>1</v>
      </c>
      <c r="G21">
        <f>IF(E21="",0,1)</f>
        <v/>
      </c>
      <c r="H21">
        <f>IF(G21=1,E21*F21,0)</f>
        <v/>
      </c>
      <c r="I21">
        <f>IF(E21="","—",IF(E21&lt;0.5,"L0 — Inicial",IF(E21&lt;1.5,"L1 — Em Desenvolvimento",IF(E21&lt;2.5,"L2 — Definido",IF(E21&lt;3.5,"L3 — Gerenciado","L4 — Otimizando")))))</f>
        <v/>
      </c>
      <c r="J21" t="inlineStr">
        <is>
          <t>Cobertura de 80%+ com métricas mostrando ganhos consistentes (~20% velocidade).</t>
        </is>
      </c>
    </row>
    <row r="22">
      <c r="A22" t="inlineStr">
        <is>
          <t>P1-C4-Q4</t>
        </is>
      </c>
      <c r="B22" t="inlineStr">
        <is>
          <t>P1</t>
        </is>
      </c>
      <c r="C22" t="inlineStr">
        <is>
          <t>P1-C4</t>
        </is>
      </c>
      <c r="D22" t="inlineStr">
        <is>
          <t>Em que medida Automação de Revisão de Código (required-reviewer rules) foi adotado entre as equipes?</t>
        </is>
      </c>
      <c r="E22" t="n">
        <v>2</v>
      </c>
      <c r="F22" t="n">
        <v>1</v>
      </c>
      <c r="G22">
        <f>IF(E22="",0,1)</f>
        <v/>
      </c>
      <c r="H22">
        <f>IF(G22=1,E22*F22,0)</f>
        <v/>
      </c>
      <c r="I22">
        <f>IF(E22="","—",IF(E22&lt;0.5,"L0 — Inicial",IF(E22&lt;1.5,"L1 — Em Desenvolvimento",IF(E22&lt;2.5,"L2 — Definido",IF(E22&lt;3.5,"L3 — Gerenciado","L4 — Otimizando")))))</f>
        <v/>
      </c>
      <c r="J22" t="inlineStr">
        <is>
          <t>Cobertura de ~40% das equipes com diretrizes escritas e treinamento básico.</t>
        </is>
      </c>
    </row>
    <row r="23">
      <c r="A23" t="inlineStr">
        <is>
          <t>P1-C4-Q5</t>
        </is>
      </c>
      <c r="B23" t="inlineStr">
        <is>
          <t>P1</t>
        </is>
      </c>
      <c r="C23" t="inlineStr">
        <is>
          <t>P1-C4</t>
        </is>
      </c>
      <c r="D23" t="inlineStr">
        <is>
          <t>Em que medida Automação de Revisão de Código (review SLA tracking) foi adotado entre as equipes?</t>
        </is>
      </c>
      <c r="F23" t="n">
        <v>1</v>
      </c>
      <c r="G23">
        <f>IF(E23="",0,1)</f>
        <v/>
      </c>
      <c r="H23">
        <f>IF(G23=1,E23*F23,0)</f>
        <v/>
      </c>
      <c r="I23">
        <f>IF(E23="","—",IF(E23&lt;0.5,"L0 — Inicial",IF(E23&lt;1.5,"L1 — Em Desenvolvimento",IF(E23&lt;2.5,"L2 — Definido",IF(E23&lt;3.5,"L3 — Gerenciado","L4 — Otimizando")))))</f>
        <v/>
      </c>
      <c r="J23" t="inlineStr"/>
    </row>
    <row r="24">
      <c r="A24" t="inlineStr">
        <is>
          <t>P1-C4-Q6</t>
        </is>
      </c>
      <c r="B24" t="inlineStr">
        <is>
          <t>P1</t>
        </is>
      </c>
      <c r="C24" t="inlineStr">
        <is>
          <t>P1-C4</t>
        </is>
      </c>
      <c r="D24" t="inlineStr">
        <is>
          <t>Em que medida Automação de Revisão de Código (change size enforcement) foi adotado entre as equipes?</t>
        </is>
      </c>
      <c r="F24" t="n">
        <v>1</v>
      </c>
      <c r="G24">
        <f>IF(E24="",0,1)</f>
        <v/>
      </c>
      <c r="H24">
        <f>IF(G24=1,E24*F24,0)</f>
        <v/>
      </c>
      <c r="I24">
        <f>IF(E24="","—",IF(E24&lt;0.5,"L0 — Inicial",IF(E24&lt;1.5,"L1 — Em Desenvolvimento",IF(E24&lt;2.5,"L2 — Definido",IF(E24&lt;3.5,"L3 — Gerenciado","L4 — Otimizando")))))</f>
        <v/>
      </c>
      <c r="J24" t="inlineStr"/>
    </row>
    <row r="25">
      <c r="A25" t="inlineStr">
        <is>
          <t>P1-C4-Q7</t>
        </is>
      </c>
      <c r="B25" t="inlineStr">
        <is>
          <t>P1</t>
        </is>
      </c>
      <c r="C25" t="inlineStr">
        <is>
          <t>P1-C4</t>
        </is>
      </c>
      <c r="D25" t="inlineStr">
        <is>
          <t>Em que medida Automação de Revisão de Código (reviewer load balancing) foi adotado entre as equipes?</t>
        </is>
      </c>
      <c r="F25" t="n">
        <v>1</v>
      </c>
      <c r="G25">
        <f>IF(E25="",0,1)</f>
        <v/>
      </c>
      <c r="H25">
        <f>IF(G25=1,E25*F25,0)</f>
        <v/>
      </c>
      <c r="I25">
        <f>IF(E25="","—",IF(E25&lt;0.5,"L0 — Inicial",IF(E25&lt;1.5,"L1 — Em Desenvolvimento",IF(E25&lt;2.5,"L2 — Definido",IF(E25&lt;3.5,"L3 — Gerenciado","L4 — Otimizando")))))</f>
        <v/>
      </c>
      <c r="J25" t="inlineStr"/>
    </row>
    <row r="26">
      <c r="A26" t="inlineStr">
        <is>
          <t>P1-C5-Q1</t>
        </is>
      </c>
      <c r="B26" t="inlineStr">
        <is>
          <t>P1</t>
        </is>
      </c>
      <c r="C26" t="inlineStr">
        <is>
          <t>P1-C5</t>
        </is>
      </c>
      <c r="D26" t="inlineStr">
        <is>
          <t>Em que medida Onboarding e Treinamento de Desenvolvedores (codespaces/dev containers for instant env) foi adotado entre as equipes?</t>
        </is>
      </c>
      <c r="F26" t="n">
        <v>1</v>
      </c>
      <c r="G26">
        <f>IF(E26="",0,1)</f>
        <v/>
      </c>
      <c r="H26">
        <f>IF(G26=1,E26*F26,0)</f>
        <v/>
      </c>
      <c r="I26">
        <f>IF(E26="","—",IF(E26&lt;0.5,"L0 — Inicial",IF(E26&lt;1.5,"L1 — Em Desenvolvimento",IF(E26&lt;2.5,"L2 — Definido",IF(E26&lt;3.5,"L3 — Gerenciado","L4 — Otimizando")))))</f>
        <v/>
      </c>
      <c r="J26" t="inlineStr"/>
    </row>
    <row r="27">
      <c r="A27" t="inlineStr">
        <is>
          <t>P1-C5-Q2</t>
        </is>
      </c>
      <c r="B27" t="inlineStr">
        <is>
          <t>P1</t>
        </is>
      </c>
      <c r="C27" t="inlineStr">
        <is>
          <t>P1-C5</t>
        </is>
      </c>
      <c r="D27" t="inlineStr">
        <is>
          <t>Em que medida Onboarding e Treinamento de Desenvolvedores (structured onboarding playbook) foi adotado entre as equipes?</t>
        </is>
      </c>
      <c r="F27" t="n">
        <v>1</v>
      </c>
      <c r="G27">
        <f>IF(E27="",0,1)</f>
        <v/>
      </c>
      <c r="H27">
        <f>IF(G27=1,E27*F27,0)</f>
        <v/>
      </c>
      <c r="I27">
        <f>IF(E27="","—",IF(E27&lt;0.5,"L0 — Inicial",IF(E27&lt;1.5,"L1 — Em Desenvolvimento",IF(E27&lt;2.5,"L2 — Definido",IF(E27&lt;3.5,"L3 — Gerenciado","L4 — Otimizando")))))</f>
        <v/>
      </c>
      <c r="J27" t="inlineStr"/>
    </row>
    <row r="28">
      <c r="A28" t="inlineStr">
        <is>
          <t>P1-C5-Q3</t>
        </is>
      </c>
      <c r="B28" t="inlineStr">
        <is>
          <t>P1</t>
        </is>
      </c>
      <c r="C28" t="inlineStr">
        <is>
          <t>P1-C5</t>
        </is>
      </c>
      <c r="D28" t="inlineStr">
        <is>
          <t>Em que medida Onboarding e Treinamento de Desenvolvedores (mentor pairing program) foi adotado entre as equipes?</t>
        </is>
      </c>
      <c r="F28" t="n">
        <v>1</v>
      </c>
      <c r="G28">
        <f>IF(E28="",0,1)</f>
        <v/>
      </c>
      <c r="H28">
        <f>IF(G28=1,E28*F28,0)</f>
        <v/>
      </c>
      <c r="I28">
        <f>IF(E28="","—",IF(E28&lt;0.5,"L0 — Inicial",IF(E28&lt;1.5,"L1 — Em Desenvolvimento",IF(E28&lt;2.5,"L2 — Definido",IF(E28&lt;3.5,"L3 — Gerenciado","L4 — Otimizando")))))</f>
        <v/>
      </c>
      <c r="J28" t="inlineStr"/>
    </row>
    <row r="29">
      <c r="A29" t="inlineStr">
        <is>
          <t>P1-C5-Q4</t>
        </is>
      </c>
      <c r="B29" t="inlineStr">
        <is>
          <t>P1</t>
        </is>
      </c>
      <c r="C29" t="inlineStr">
        <is>
          <t>P1-C5</t>
        </is>
      </c>
      <c r="D29" t="inlineStr">
        <is>
          <t>Em que medida Onboarding e Treinamento de Desenvolvedores (hands-on curriculum &amp; kata) foi adotado entre as equipes?</t>
        </is>
      </c>
      <c r="F29" t="n">
        <v>1</v>
      </c>
      <c r="G29">
        <f>IF(E29="",0,1)</f>
        <v/>
      </c>
      <c r="H29">
        <f>IF(G29=1,E29*F29,0)</f>
        <v/>
      </c>
      <c r="I29">
        <f>IF(E29="","—",IF(E29&lt;0.5,"L0 — Inicial",IF(E29&lt;1.5,"L1 — Em Desenvolvimento",IF(E29&lt;2.5,"L2 — Definido",IF(E29&lt;3.5,"L3 — Gerenciado","L4 — Otimizando")))))</f>
        <v/>
      </c>
      <c r="J29" t="inlineStr"/>
    </row>
    <row r="30">
      <c r="A30" t="inlineStr">
        <is>
          <t>P1-C5-Q5</t>
        </is>
      </c>
      <c r="B30" t="inlineStr">
        <is>
          <t>P1</t>
        </is>
      </c>
      <c r="C30" t="inlineStr">
        <is>
          <t>P1-C5</t>
        </is>
      </c>
      <c r="D30" t="inlineStr">
        <is>
          <t>Em que medida Onboarding e Treinamento de Desenvolvedores (shadow on-call rotation) foi adotado entre as equipes?</t>
        </is>
      </c>
      <c r="F30" t="n">
        <v>1</v>
      </c>
      <c r="G30">
        <f>IF(E30="",0,1)</f>
        <v/>
      </c>
      <c r="H30">
        <f>IF(G30=1,E30*F30,0)</f>
        <v/>
      </c>
      <c r="I30">
        <f>IF(E30="","—",IF(E30&lt;0.5,"L0 — Inicial",IF(E30&lt;1.5,"L1 — Em Desenvolvimento",IF(E30&lt;2.5,"L2 — Definido",IF(E30&lt;3.5,"L3 — Gerenciado","L4 — Otimizando")))))</f>
        <v/>
      </c>
      <c r="J30" t="inlineStr"/>
    </row>
    <row r="31">
      <c r="A31" t="inlineStr">
        <is>
          <t>P1-C5-Q6</t>
        </is>
      </c>
      <c r="B31" t="inlineStr">
        <is>
          <t>P1</t>
        </is>
      </c>
      <c r="C31" t="inlineStr">
        <is>
          <t>P1-C5</t>
        </is>
      </c>
      <c r="D31" t="inlineStr">
        <is>
          <t>Em que medida Onboarding e Treinamento de Desenvolvedores (onboarding feedback loop) foi adotado entre as equipes?</t>
        </is>
      </c>
      <c r="F31" t="n">
        <v>1</v>
      </c>
      <c r="G31">
        <f>IF(E31="",0,1)</f>
        <v/>
      </c>
      <c r="H31">
        <f>IF(G31=1,E31*F31,0)</f>
        <v/>
      </c>
      <c r="I31">
        <f>IF(E31="","—",IF(E31&lt;0.5,"L0 — Inicial",IF(E31&lt;1.5,"L1 — Em Desenvolvimento",IF(E31&lt;2.5,"L2 — Definido",IF(E31&lt;3.5,"L3 — Gerenciado","L4 — Otimizando")))))</f>
        <v/>
      </c>
      <c r="J31" t="inlineStr"/>
    </row>
    <row r="32">
      <c r="A32" t="inlineStr">
        <is>
          <t>P1-C5-Q7</t>
        </is>
      </c>
      <c r="B32" t="inlineStr">
        <is>
          <t>P1</t>
        </is>
      </c>
      <c r="C32" t="inlineStr">
        <is>
          <t>P1-C5</t>
        </is>
      </c>
      <c r="D32" t="inlineStr">
        <is>
          <t>Em que medida Onboarding e Treinamento de Desenvolvedores (ramp-time measurement) foi adotado entre as equipes?</t>
        </is>
      </c>
      <c r="F32" t="n">
        <v>1</v>
      </c>
      <c r="G32">
        <f>IF(E32="",0,1)</f>
        <v/>
      </c>
      <c r="H32">
        <f>IF(G32=1,E32*F32,0)</f>
        <v/>
      </c>
      <c r="I32">
        <f>IF(E32="","—",IF(E32&lt;0.5,"L0 — Inicial",IF(E32&lt;1.5,"L1 — Em Desenvolvimento",IF(E32&lt;2.5,"L2 — Definido",IF(E32&lt;3.5,"L3 — Gerenciado","L4 — Otimizando")))))</f>
        <v/>
      </c>
      <c r="J32" t="inlineStr"/>
    </row>
    <row r="33">
      <c r="A33" t="inlineStr">
        <is>
          <t>P1-C6-Q1</t>
        </is>
      </c>
      <c r="B33" t="inlineStr">
        <is>
          <t>P1</t>
        </is>
      </c>
      <c r="C33" t="inlineStr">
        <is>
          <t>P1-C6</t>
        </is>
      </c>
      <c r="D33" t="inlineStr">
        <is>
          <t>Em que medida Inner Source e Colaboração (internal repos with open contribution) foi adotado entre as equipes?</t>
        </is>
      </c>
      <c r="F33" t="n">
        <v>1</v>
      </c>
      <c r="G33">
        <f>IF(E33="",0,1)</f>
        <v/>
      </c>
      <c r="H33">
        <f>IF(G33=1,E33*F33,0)</f>
        <v/>
      </c>
      <c r="I33">
        <f>IF(E33="","—",IF(E33&lt;0.5,"L0 — Inicial",IF(E33&lt;1.5,"L1 — Em Desenvolvimento",IF(E33&lt;2.5,"L2 — Definido",IF(E33&lt;3.5,"L3 — Gerenciado","L4 — Otimizando")))))</f>
        <v/>
      </c>
      <c r="J33" t="inlineStr"/>
    </row>
    <row r="34">
      <c r="A34" t="inlineStr">
        <is>
          <t>P1-C6-Q2</t>
        </is>
      </c>
      <c r="B34" t="inlineStr">
        <is>
          <t>P1</t>
        </is>
      </c>
      <c r="C34" t="inlineStr">
        <is>
          <t>P1-C6</t>
        </is>
      </c>
      <c r="D34" t="inlineStr">
        <is>
          <t>Em que medida Inner Source e Colaboração (CONTRIBUTING.md standards) foi adotado entre as equipes?</t>
        </is>
      </c>
      <c r="F34" t="n">
        <v>1</v>
      </c>
      <c r="G34">
        <f>IF(E34="",0,1)</f>
        <v/>
      </c>
      <c r="H34">
        <f>IF(G34=1,E34*F34,0)</f>
        <v/>
      </c>
      <c r="I34">
        <f>IF(E34="","—",IF(E34&lt;0.5,"L0 — Inicial",IF(E34&lt;1.5,"L1 — Em Desenvolvimento",IF(E34&lt;2.5,"L2 — Definido",IF(E34&lt;3.5,"L3 — Gerenciado","L4 — Otimizando")))))</f>
        <v/>
      </c>
      <c r="J34" t="inlineStr"/>
    </row>
    <row r="35">
      <c r="A35" t="inlineStr">
        <is>
          <t>P1-C6-Q3</t>
        </is>
      </c>
      <c r="B35" t="inlineStr">
        <is>
          <t>P1</t>
        </is>
      </c>
      <c r="C35" t="inlineStr">
        <is>
          <t>P1-C6</t>
        </is>
      </c>
      <c r="D35" t="inlineStr">
        <is>
          <t>Em que medida Inner Source e Colaboração (inner-source discovery portal) foi adotado entre as equipes?</t>
        </is>
      </c>
      <c r="F35" t="n">
        <v>1</v>
      </c>
      <c r="G35">
        <f>IF(E35="",0,1)</f>
        <v/>
      </c>
      <c r="H35">
        <f>IF(G35=1,E35*F35,0)</f>
        <v/>
      </c>
      <c r="I35">
        <f>IF(E35="","—",IF(E35&lt;0.5,"L0 — Inicial",IF(E35&lt;1.5,"L1 — Em Desenvolvimento",IF(E35&lt;2.5,"L2 — Definido",IF(E35&lt;3.5,"L3 — Gerenciado","L4 — Otimizando")))))</f>
        <v/>
      </c>
      <c r="J35" t="inlineStr"/>
    </row>
    <row r="36">
      <c r="A36" t="inlineStr">
        <is>
          <t>P1-C6-Q4</t>
        </is>
      </c>
      <c r="B36" t="inlineStr">
        <is>
          <t>P1</t>
        </is>
      </c>
      <c r="C36" t="inlineStr">
        <is>
          <t>P1-C6</t>
        </is>
      </c>
      <c r="D36" t="inlineStr">
        <is>
          <t>Em que medida Inner Source e Colaboração (good-first-issue labeling) foi adotado entre as equipes?</t>
        </is>
      </c>
      <c r="F36" t="n">
        <v>1</v>
      </c>
      <c r="G36">
        <f>IF(E36="",0,1)</f>
        <v/>
      </c>
      <c r="H36">
        <f>IF(G36=1,E36*F36,0)</f>
        <v/>
      </c>
      <c r="I36">
        <f>IF(E36="","—",IF(E36&lt;0.5,"L0 — Inicial",IF(E36&lt;1.5,"L1 — Em Desenvolvimento",IF(E36&lt;2.5,"L2 — Definido",IF(E36&lt;3.5,"L3 — Gerenciado","L4 — Otimizando")))))</f>
        <v/>
      </c>
      <c r="J36" t="inlineStr"/>
    </row>
    <row r="37">
      <c r="A37" t="inlineStr">
        <is>
          <t>P1-C6-Q5</t>
        </is>
      </c>
      <c r="B37" t="inlineStr">
        <is>
          <t>P1</t>
        </is>
      </c>
      <c r="C37" t="inlineStr">
        <is>
          <t>P1-C6</t>
        </is>
      </c>
      <c r="D37" t="inlineStr">
        <is>
          <t>Em que medida Inner Source e Colaboração (cross-team design reviews) foi adotado entre as equipes?</t>
        </is>
      </c>
      <c r="F37" t="n">
        <v>1</v>
      </c>
      <c r="G37">
        <f>IF(E37="",0,1)</f>
        <v/>
      </c>
      <c r="H37">
        <f>IF(G37=1,E37*F37,0)</f>
        <v/>
      </c>
      <c r="I37">
        <f>IF(E37="","—",IF(E37&lt;0.5,"L0 — Inicial",IF(E37&lt;1.5,"L1 — Em Desenvolvimento",IF(E37&lt;2.5,"L2 — Definido",IF(E37&lt;3.5,"L3 — Gerenciado","L4 — Otimizando")))))</f>
        <v/>
      </c>
      <c r="J37" t="inlineStr"/>
    </row>
    <row r="38">
      <c r="A38" t="inlineStr">
        <is>
          <t>P1-C6-Q6</t>
        </is>
      </c>
      <c r="B38" t="inlineStr">
        <is>
          <t>P1</t>
        </is>
      </c>
      <c r="C38" t="inlineStr">
        <is>
          <t>P1-C6</t>
        </is>
      </c>
      <c r="D38" t="inlineStr">
        <is>
          <t>Em que medida Inner Source e Colaboração (community of practice) foi adotado entre as equipes?</t>
        </is>
      </c>
      <c r="F38" t="n">
        <v>1</v>
      </c>
      <c r="G38">
        <f>IF(E38="",0,1)</f>
        <v/>
      </c>
      <c r="H38">
        <f>IF(G38=1,E38*F38,0)</f>
        <v/>
      </c>
      <c r="I38">
        <f>IF(E38="","—",IF(E38&lt;0.5,"L0 — Inicial",IF(E38&lt;1.5,"L1 — Em Desenvolvimento",IF(E38&lt;2.5,"L2 — Definido",IF(E38&lt;3.5,"L3 — Gerenciado","L4 — Otimizando")))))</f>
        <v/>
      </c>
      <c r="J38" t="inlineStr"/>
    </row>
    <row r="39">
      <c r="A39" t="inlineStr">
        <is>
          <t>P1-C7-Q1</t>
        </is>
      </c>
      <c r="B39" t="inlineStr">
        <is>
          <t>P1</t>
        </is>
      </c>
      <c r="C39" t="inlineStr">
        <is>
          <t>P1-C7</t>
        </is>
      </c>
      <c r="D39" t="inlineStr">
        <is>
          <t>Em que medida Automação de Documentação (docs-as-code in Git) foi adotado entre as equipes?</t>
        </is>
      </c>
      <c r="F39" t="n">
        <v>1</v>
      </c>
      <c r="G39">
        <f>IF(E39="",0,1)</f>
        <v/>
      </c>
      <c r="H39">
        <f>IF(G39=1,E39*F39,0)</f>
        <v/>
      </c>
      <c r="I39">
        <f>IF(E39="","—",IF(E39&lt;0.5,"L0 — Inicial",IF(E39&lt;1.5,"L1 — Em Desenvolvimento",IF(E39&lt;2.5,"L2 — Definido",IF(E39&lt;3.5,"L3 — Gerenciado","L4 — Otimizando")))))</f>
        <v/>
      </c>
      <c r="J39" t="inlineStr"/>
    </row>
    <row r="40">
      <c r="A40" t="inlineStr">
        <is>
          <t>P1-C7-Q2</t>
        </is>
      </c>
      <c r="B40" t="inlineStr">
        <is>
          <t>P1</t>
        </is>
      </c>
      <c r="C40" t="inlineStr">
        <is>
          <t>P1-C7</t>
        </is>
      </c>
      <c r="D40" t="inlineStr">
        <is>
          <t>Em que medida Automação de Documentação (auto-generated API reference) foi adotado entre as equipes?</t>
        </is>
      </c>
      <c r="F40" t="n">
        <v>1</v>
      </c>
      <c r="G40">
        <f>IF(E40="",0,1)</f>
        <v/>
      </c>
      <c r="H40">
        <f>IF(G40=1,E40*F40,0)</f>
        <v/>
      </c>
      <c r="I40">
        <f>IF(E40="","—",IF(E40&lt;0.5,"L0 — Inicial",IF(E40&lt;1.5,"L1 — Em Desenvolvimento",IF(E40&lt;2.5,"L2 — Definido",IF(E40&lt;3.5,"L3 — Gerenciado","L4 — Otimizando")))))</f>
        <v/>
      </c>
      <c r="J40" t="inlineStr"/>
    </row>
    <row r="41">
      <c r="A41" t="inlineStr">
        <is>
          <t>P1-C7-Q3</t>
        </is>
      </c>
      <c r="B41" t="inlineStr">
        <is>
          <t>P1</t>
        </is>
      </c>
      <c r="C41" t="inlineStr">
        <is>
          <t>P1-C7</t>
        </is>
      </c>
      <c r="D41" t="inlineStr">
        <is>
          <t>Em que medida Automação de Documentação (AI-assisted doc drafting) foi adotado entre as equipes?</t>
        </is>
      </c>
      <c r="F41" t="n">
        <v>1</v>
      </c>
      <c r="G41">
        <f>IF(E41="",0,1)</f>
        <v/>
      </c>
      <c r="H41">
        <f>IF(G41=1,E41*F41,0)</f>
        <v/>
      </c>
      <c r="I41">
        <f>IF(E41="","—",IF(E41&lt;0.5,"L0 — Inicial",IF(E41&lt;1.5,"L1 — Em Desenvolvimento",IF(E41&lt;2.5,"L2 — Definido",IF(E41&lt;3.5,"L3 — Gerenciado","L4 — Otimizando")))))</f>
        <v/>
      </c>
      <c r="J41" t="inlineStr"/>
    </row>
    <row r="42">
      <c r="A42" t="inlineStr">
        <is>
          <t>P1-C7-Q4</t>
        </is>
      </c>
      <c r="B42" t="inlineStr">
        <is>
          <t>P1</t>
        </is>
      </c>
      <c r="C42" t="inlineStr">
        <is>
          <t>P1-C7</t>
        </is>
      </c>
      <c r="D42" t="inlineStr">
        <is>
          <t>Em que medida Automação de Documentação (doc quality linting) foi adotado entre as equipes?</t>
        </is>
      </c>
      <c r="F42" t="n">
        <v>1</v>
      </c>
      <c r="G42">
        <f>IF(E42="",0,1)</f>
        <v/>
      </c>
      <c r="H42">
        <f>IF(G42=1,E42*F42,0)</f>
        <v/>
      </c>
      <c r="I42">
        <f>IF(E42="","—",IF(E42&lt;0.5,"L0 — Inicial",IF(E42&lt;1.5,"L1 — Em Desenvolvimento",IF(E42&lt;2.5,"L2 — Definido",IF(E42&lt;3.5,"L3 — Gerenciado","L4 — Otimizando")))))</f>
        <v/>
      </c>
      <c r="J42" t="inlineStr"/>
    </row>
    <row r="43">
      <c r="A43" t="inlineStr">
        <is>
          <t>P1-C7-Q5</t>
        </is>
      </c>
      <c r="B43" t="inlineStr">
        <is>
          <t>P1</t>
        </is>
      </c>
      <c r="C43" t="inlineStr">
        <is>
          <t>P1-C7</t>
        </is>
      </c>
      <c r="D43" t="inlineStr">
        <is>
          <t>Em que medida Automação de Documentação (docs analytics) foi adotado entre as equipes?</t>
        </is>
      </c>
      <c r="F43" t="n">
        <v>1</v>
      </c>
      <c r="G43">
        <f>IF(E43="",0,1)</f>
        <v/>
      </c>
      <c r="H43">
        <f>IF(G43=1,E43*F43,0)</f>
        <v/>
      </c>
      <c r="I43">
        <f>IF(E43="","—",IF(E43&lt;0.5,"L0 — Inicial",IF(E43&lt;1.5,"L1 — Em Desenvolvimento",IF(E43&lt;2.5,"L2 — Definido",IF(E43&lt;3.5,"L3 — Gerenciado","L4 — Otimizando")))))</f>
        <v/>
      </c>
      <c r="J43" t="inlineStr"/>
    </row>
    <row r="44">
      <c r="A44" t="inlineStr">
        <is>
          <t>P1-C8-Q1</t>
        </is>
      </c>
      <c r="B44" t="inlineStr">
        <is>
          <t>P1</t>
        </is>
      </c>
      <c r="C44" t="inlineStr">
        <is>
          <t>P1-C8</t>
        </is>
      </c>
      <c r="D44" t="inlineStr">
        <is>
          <t>Em que medida Medição de Produtividade do Desenvolvedor (DORA four key metrics) foi adotado entre as equipes?</t>
        </is>
      </c>
      <c r="F44" t="n">
        <v>1</v>
      </c>
      <c r="G44">
        <f>IF(E44="",0,1)</f>
        <v/>
      </c>
      <c r="H44">
        <f>IF(G44=1,E44*F44,0)</f>
        <v/>
      </c>
      <c r="I44">
        <f>IF(E44="","—",IF(E44&lt;0.5,"L0 — Inicial",IF(E44&lt;1.5,"L1 — Em Desenvolvimento",IF(E44&lt;2.5,"L2 — Definido",IF(E44&lt;3.5,"L3 — Gerenciado","L4 — Otimizando")))))</f>
        <v/>
      </c>
      <c r="J44" t="inlineStr"/>
    </row>
    <row r="45">
      <c r="A45" t="inlineStr">
        <is>
          <t>P1-C8-Q2</t>
        </is>
      </c>
      <c r="B45" t="inlineStr">
        <is>
          <t>P1</t>
        </is>
      </c>
      <c r="C45" t="inlineStr">
        <is>
          <t>P1-C8</t>
        </is>
      </c>
      <c r="D45" t="inlineStr">
        <is>
          <t>Em que medida Medição de Produtividade do Desenvolvedor (developer experience surveys) foi adotado entre as equipes?</t>
        </is>
      </c>
      <c r="F45" t="n">
        <v>1</v>
      </c>
      <c r="G45">
        <f>IF(E45="",0,1)</f>
        <v/>
      </c>
      <c r="H45">
        <f>IF(G45=1,E45*F45,0)</f>
        <v/>
      </c>
      <c r="I45">
        <f>IF(E45="","—",IF(E45&lt;0.5,"L0 — Inicial",IF(E45&lt;1.5,"L1 — Em Desenvolvimento",IF(E45&lt;2.5,"L2 — Definido",IF(E45&lt;3.5,"L3 — Gerenciado","L4 — Otimizando")))))</f>
        <v/>
      </c>
      <c r="J45" t="inlineStr"/>
    </row>
    <row r="46">
      <c r="A46" t="inlineStr">
        <is>
          <t>P1-C8-Q3</t>
        </is>
      </c>
      <c r="B46" t="inlineStr">
        <is>
          <t>P1</t>
        </is>
      </c>
      <c r="C46" t="inlineStr">
        <is>
          <t>P1-C8</t>
        </is>
      </c>
      <c r="D46" t="inlineStr">
        <is>
          <t>Em que medida Medição de Produtividade do Desenvolvedor (build/test feedback loop time) foi adotado entre as equipes?</t>
        </is>
      </c>
      <c r="F46" t="n">
        <v>1</v>
      </c>
      <c r="G46">
        <f>IF(E46="",0,1)</f>
        <v/>
      </c>
      <c r="H46">
        <f>IF(G46=1,E46*F46,0)</f>
        <v/>
      </c>
      <c r="I46">
        <f>IF(E46="","—",IF(E46&lt;0.5,"L0 — Inicial",IF(E46&lt;1.5,"L1 — Em Desenvolvimento",IF(E46&lt;2.5,"L2 — Definido",IF(E46&lt;3.5,"L3 — Gerenciado","L4 — Otimizando")))))</f>
        <v/>
      </c>
      <c r="J46" t="inlineStr"/>
    </row>
    <row r="47">
      <c r="A47" t="inlineStr">
        <is>
          <t>P1-C8-Q4</t>
        </is>
      </c>
      <c r="B47" t="inlineStr">
        <is>
          <t>P1</t>
        </is>
      </c>
      <c r="C47" t="inlineStr">
        <is>
          <t>P1-C8</t>
        </is>
      </c>
      <c r="D47" t="inlineStr">
        <is>
          <t>Em que medida Medição de Produtividade do Desenvolvedor (SPACE framework adoption) foi adotado entre as equipes?</t>
        </is>
      </c>
      <c r="F47" t="n">
        <v>1</v>
      </c>
      <c r="G47">
        <f>IF(E47="",0,1)</f>
        <v/>
      </c>
      <c r="H47">
        <f>IF(G47=1,E47*F47,0)</f>
        <v/>
      </c>
      <c r="I47">
        <f>IF(E47="","—",IF(E47&lt;0.5,"L0 — Inicial",IF(E47&lt;1.5,"L1 — Em Desenvolvimento",IF(E47&lt;2.5,"L2 — Definido",IF(E47&lt;3.5,"L3 — Gerenciado","L4 — Otimizando")))))</f>
        <v/>
      </c>
      <c r="J47" t="inlineStr"/>
    </row>
    <row r="48">
      <c r="A48" t="inlineStr">
        <is>
          <t>P1-C8-Q5</t>
        </is>
      </c>
      <c r="B48" t="inlineStr">
        <is>
          <t>P1</t>
        </is>
      </c>
      <c r="C48" t="inlineStr">
        <is>
          <t>P1-C8</t>
        </is>
      </c>
      <c r="D48" t="inlineStr">
        <is>
          <t>Em que medida Medição de Produtividade do Desenvolvedor (flow vs friction dashboards) foi adotado entre as equipes?</t>
        </is>
      </c>
      <c r="F48" t="n">
        <v>1</v>
      </c>
      <c r="G48">
        <f>IF(E48="",0,1)</f>
        <v/>
      </c>
      <c r="H48">
        <f>IF(G48=1,E48*F48,0)</f>
        <v/>
      </c>
      <c r="I48">
        <f>IF(E48="","—",IF(E48&lt;0.5,"L0 — Inicial",IF(E48&lt;1.5,"L1 — Em Desenvolvimento",IF(E48&lt;2.5,"L2 — Definido",IF(E48&lt;3.5,"L3 — Gerenciado","L4 — Otimizando")))))</f>
        <v/>
      </c>
      <c r="J48" t="inlineStr"/>
    </row>
    <row r="49">
      <c r="A49" t="inlineStr">
        <is>
          <t>P1-C8-Q6</t>
        </is>
      </c>
      <c r="B49" t="inlineStr">
        <is>
          <t>P1</t>
        </is>
      </c>
      <c r="C49" t="inlineStr">
        <is>
          <t>P1-C8</t>
        </is>
      </c>
      <c r="D49" t="inlineStr">
        <is>
          <t>Em que medida Medição de Produtividade do Desenvolvedor (quarterly productivity OKRs) foi adotado entre as equipes?</t>
        </is>
      </c>
      <c r="F49" t="n">
        <v>1</v>
      </c>
      <c r="G49">
        <f>IF(E49="",0,1)</f>
        <v/>
      </c>
      <c r="H49">
        <f>IF(G49=1,E49*F49,0)</f>
        <v/>
      </c>
      <c r="I49">
        <f>IF(E49="","—",IF(E49&lt;0.5,"L0 — Inicial",IF(E49&lt;1.5,"L1 — Em Desenvolvimento",IF(E49&lt;2.5,"L2 — Definido",IF(E49&lt;3.5,"L3 — Gerenciado","L4 — Otimizando")))))</f>
        <v/>
      </c>
      <c r="J49" t="inlineStr"/>
    </row>
    <row r="50">
      <c r="A50" t="inlineStr">
        <is>
          <t>P1-C9-Q1</t>
        </is>
      </c>
      <c r="B50" t="inlineStr">
        <is>
          <t>P1</t>
        </is>
      </c>
      <c r="C50" t="inlineStr">
        <is>
          <t>P1-C9</t>
        </is>
      </c>
      <c r="D50" t="inlineStr">
        <is>
          <t>Em que medida Automação de Ambientes e Espaços de Trabalho (reproducible local envs (devcontainers)) foi adotado entre as equipes?</t>
        </is>
      </c>
      <c r="F50" t="n">
        <v>1</v>
      </c>
      <c r="G50">
        <f>IF(E50="",0,1)</f>
        <v/>
      </c>
      <c r="H50">
        <f>IF(G50=1,E50*F50,0)</f>
        <v/>
      </c>
      <c r="I50">
        <f>IF(E50="","—",IF(E50&lt;0.5,"L0 — Inicial",IF(E50&lt;1.5,"L1 — Em Desenvolvimento",IF(E50&lt;2.5,"L2 — Definido",IF(E50&lt;3.5,"L3 — Gerenciado","L4 — Otimizando")))))</f>
        <v/>
      </c>
      <c r="J50" t="inlineStr"/>
    </row>
    <row r="51">
      <c r="A51" t="inlineStr">
        <is>
          <t>P1-C9-Q2</t>
        </is>
      </c>
      <c r="B51" t="inlineStr">
        <is>
          <t>P1</t>
        </is>
      </c>
      <c r="C51" t="inlineStr">
        <is>
          <t>P1-C9</t>
        </is>
      </c>
      <c r="D51" t="inlineStr">
        <is>
          <t>Em que medida Automação de Ambientes e Espaços de Trabalho (cloud workspaces (Codespaces/Gitpod)) foi adotado entre as equipes?</t>
        </is>
      </c>
      <c r="F51" t="n">
        <v>1</v>
      </c>
      <c r="G51">
        <f>IF(E51="",0,1)</f>
        <v/>
      </c>
      <c r="H51">
        <f>IF(G51=1,E51*F51,0)</f>
        <v/>
      </c>
      <c r="I51">
        <f>IF(E51="","—",IF(E51&lt;0.5,"L0 — Inicial",IF(E51&lt;1.5,"L1 — Em Desenvolvimento",IF(E51&lt;2.5,"L2 — Definido",IF(E51&lt;3.5,"L3 — Gerenciado","L4 — Otimizando")))))</f>
        <v/>
      </c>
      <c r="J51" t="inlineStr"/>
    </row>
    <row r="52">
      <c r="A52" t="inlineStr">
        <is>
          <t>P1-C9-Q3</t>
        </is>
      </c>
      <c r="B52" t="inlineStr">
        <is>
          <t>P1</t>
        </is>
      </c>
      <c r="C52" t="inlineStr">
        <is>
          <t>P1-C9</t>
        </is>
      </c>
      <c r="D52" t="inlineStr">
        <is>
          <t>Em que medida Automação de Ambientes e Espaços de Trabalho (tool and SDK version pinning) foi adotado entre as equipes?</t>
        </is>
      </c>
      <c r="F52" t="n">
        <v>1</v>
      </c>
      <c r="G52">
        <f>IF(E52="",0,1)</f>
        <v/>
      </c>
      <c r="H52">
        <f>IF(G52=1,E52*F52,0)</f>
        <v/>
      </c>
      <c r="I52">
        <f>IF(E52="","—",IF(E52&lt;0.5,"L0 — Inicial",IF(E52&lt;1.5,"L1 — Em Desenvolvimento",IF(E52&lt;2.5,"L2 — Definido",IF(E52&lt;3.5,"L3 — Gerenciado","L4 — Otimizando")))))</f>
        <v/>
      </c>
      <c r="J52" t="inlineStr"/>
    </row>
    <row r="53">
      <c r="A53" t="inlineStr">
        <is>
          <t>P1-C9-Q4</t>
        </is>
      </c>
      <c r="B53" t="inlineStr">
        <is>
          <t>P1</t>
        </is>
      </c>
      <c r="C53" t="inlineStr">
        <is>
          <t>P1-C9</t>
        </is>
      </c>
      <c r="D53" t="inlineStr">
        <is>
          <t>Em que medida Automação de Ambientes e Espaços de Trabalho (on-demand test data) foi adotado entre as equipes?</t>
        </is>
      </c>
      <c r="F53" t="n">
        <v>1</v>
      </c>
      <c r="G53">
        <f>IF(E53="",0,1)</f>
        <v/>
      </c>
      <c r="H53">
        <f>IF(G53=1,E53*F53,0)</f>
        <v/>
      </c>
      <c r="I53">
        <f>IF(E53="","—",IF(E53&lt;0.5,"L0 — Inicial",IF(E53&lt;1.5,"L1 — Em Desenvolvimento",IF(E53&lt;2.5,"L2 — Definido",IF(E53&lt;3.5,"L3 — Gerenciado","L4 — Otimizando")))))</f>
        <v/>
      </c>
      <c r="J53" t="inlineStr"/>
    </row>
    <row r="54">
      <c r="A54" t="inlineStr">
        <is>
          <t>P1-C9-Q5</t>
        </is>
      </c>
      <c r="B54" t="inlineStr">
        <is>
          <t>P1</t>
        </is>
      </c>
      <c r="C54" t="inlineStr">
        <is>
          <t>P1-C9</t>
        </is>
      </c>
      <c r="D54" t="inlineStr">
        <is>
          <t>Em que medida Automação de Ambientes e Espaços de Trabalho (workspace telemetry &amp; health) foi adotado entre as equipes?</t>
        </is>
      </c>
      <c r="F54" t="n">
        <v>1</v>
      </c>
      <c r="G54">
        <f>IF(E54="",0,1)</f>
        <v/>
      </c>
      <c r="H54">
        <f>IF(G54=1,E54*F54,0)</f>
        <v/>
      </c>
      <c r="I54">
        <f>IF(E54="","—",IF(E54&lt;0.5,"L0 — Inicial",IF(E54&lt;1.5,"L1 — Em Desenvolvimento",IF(E54&lt;2.5,"L2 — Definido",IF(E54&lt;3.5,"L3 — Gerenciado","L4 — Otimizando")))))</f>
        <v/>
      </c>
      <c r="J54" t="inlineStr"/>
    </row>
    <row r="55">
      <c r="A55" t="inlineStr">
        <is>
          <t>P2-C1-Q1</t>
        </is>
      </c>
      <c r="B55" t="inlineStr">
        <is>
          <t>P2</t>
        </is>
      </c>
      <c r="C55" t="inlineStr">
        <is>
          <t>P2-C1</t>
        </is>
      </c>
      <c r="D55" t="inlineStr">
        <is>
          <t>Quão maduro é seu pipeline CI/CD em termos de automação e integração de IA?</t>
        </is>
      </c>
      <c r="E55" t="n">
        <v>2</v>
      </c>
      <c r="F55" t="n">
        <v>1</v>
      </c>
      <c r="G55">
        <f>IF(E55="",0,1)</f>
        <v/>
      </c>
      <c r="H55">
        <f>IF(G55=1,E55*F55,0)</f>
        <v/>
      </c>
      <c r="I55">
        <f>IF(E55="","—",IF(E55&lt;0.5,"L0 — Inicial",IF(E55&lt;1.5,"L1 — Em Desenvolvimento",IF(E55&lt;2.5,"L2 — Definido",IF(E55&lt;3.5,"L3 — Gerenciado","L4 — Otimizando")))))</f>
        <v/>
      </c>
      <c r="J55" t="inlineStr">
        <is>
          <t>Aproximadamente 45% de adoção, com workshops mensais e métricas iniciais.</t>
        </is>
      </c>
    </row>
    <row r="56">
      <c r="A56" t="inlineStr">
        <is>
          <t>P2-C1-Q2</t>
        </is>
      </c>
      <c r="B56" t="inlineStr">
        <is>
          <t>P2</t>
        </is>
      </c>
      <c r="C56" t="inlineStr">
        <is>
          <t>P2-C1</t>
        </is>
      </c>
      <c r="D56" t="inlineStr">
        <is>
          <t>Em que medida Inteligência de Pipeline CI/CD (pipeline-as-code everywhere) foi adotado entre as equipes?</t>
        </is>
      </c>
      <c r="E56" t="n">
        <v>3</v>
      </c>
      <c r="F56" t="n">
        <v>1</v>
      </c>
      <c r="G56">
        <f>IF(E56="",0,1)</f>
        <v/>
      </c>
      <c r="H56">
        <f>IF(G56=1,E56*F56,0)</f>
        <v/>
      </c>
      <c r="I56">
        <f>IF(E56="","—",IF(E56&lt;0.5,"L0 — Inicial",IF(E56&lt;1.5,"L1 — Em Desenvolvimento",IF(E56&lt;2.5,"L2 — Definido",IF(E56&lt;3.5,"L3 — Gerenciado","L4 — Otimizando")))))</f>
        <v/>
      </c>
      <c r="J56" t="inlineStr">
        <is>
          <t>Adoção em mais de 75% dos squads; biblioteca de templates compartilhada e métricas DORA monitoradas.</t>
        </is>
      </c>
    </row>
    <row r="57">
      <c r="A57" t="inlineStr">
        <is>
          <t>P2-C1-Q3</t>
        </is>
      </c>
      <c r="B57" t="inlineStr">
        <is>
          <t>P2</t>
        </is>
      </c>
      <c r="C57" t="inlineStr">
        <is>
          <t>P2-C1</t>
        </is>
      </c>
      <c r="D57" t="inlineStr">
        <is>
          <t>Em que medida Inteligência de Pipeline CI/CD (build caching and artifact reuse) foi adotado entre as equipes?</t>
        </is>
      </c>
      <c r="E57" t="n">
        <v>2</v>
      </c>
      <c r="F57" t="n">
        <v>1</v>
      </c>
      <c r="G57">
        <f>IF(E57="",0,1)</f>
        <v/>
      </c>
      <c r="H57">
        <f>IF(G57=1,E57*F57,0)</f>
        <v/>
      </c>
      <c r="I57">
        <f>IF(E57="","—",IF(E57&lt;0.5,"L0 — Inicial",IF(E57&lt;1.5,"L1 — Em Desenvolvimento",IF(E57&lt;2.5,"L2 — Definido",IF(E57&lt;3.5,"L3 — Gerenciado","L4 — Otimizando")))))</f>
        <v/>
      </c>
      <c r="J57" t="inlineStr">
        <is>
          <t>Implantação em 35% dos serviços; documentação publicada no Confluence interno.</t>
        </is>
      </c>
    </row>
    <row r="58">
      <c r="A58" t="inlineStr">
        <is>
          <t>P2-C1-Q4</t>
        </is>
      </c>
      <c r="B58" t="inlineStr">
        <is>
          <t>P2</t>
        </is>
      </c>
      <c r="C58" t="inlineStr">
        <is>
          <t>P2-C1</t>
        </is>
      </c>
      <c r="D58" t="inlineStr">
        <is>
          <t>Em que medida Inteligência de Pipeline CI/CD (trunk-based development) foi adotado entre as equipes?</t>
        </is>
      </c>
      <c r="E58" t="n">
        <v>2</v>
      </c>
      <c r="F58" t="n">
        <v>1</v>
      </c>
      <c r="G58">
        <f>IF(E58="",0,1)</f>
        <v/>
      </c>
      <c r="H58">
        <f>IF(G58=1,E58*F58,0)</f>
        <v/>
      </c>
      <c r="I58">
        <f>IF(E58="","—",IF(E58&lt;0.5,"L0 — Inicial",IF(E58&lt;1.5,"L1 — Em Desenvolvimento",IF(E58&lt;2.5,"L2 — Definido",IF(E58&lt;3.5,"L3 — Gerenciado","L4 — Otimizando")))))</f>
        <v/>
      </c>
      <c r="J58" t="inlineStr">
        <is>
          <t>Cobertura de ~40% das equipes com diretrizes escritas e treinamento básico.</t>
        </is>
      </c>
    </row>
    <row r="59">
      <c r="A59" t="inlineStr">
        <is>
          <t>P2-C1-Q5</t>
        </is>
      </c>
      <c r="B59" t="inlineStr">
        <is>
          <t>P2</t>
        </is>
      </c>
      <c r="C59" t="inlineStr">
        <is>
          <t>P2-C1</t>
        </is>
      </c>
      <c r="D59" t="inlineStr">
        <is>
          <t>Em que medida Inteligência de Pipeline CI/CD (deployment frequency) foi adotado entre as equipes?</t>
        </is>
      </c>
      <c r="E59" t="n">
        <v>3</v>
      </c>
      <c r="F59" t="n">
        <v>1</v>
      </c>
      <c r="G59">
        <f>IF(E59="",0,1)</f>
        <v/>
      </c>
      <c r="H59">
        <f>IF(G59=1,E59*F59,0)</f>
        <v/>
      </c>
      <c r="I59">
        <f>IF(E59="","—",IF(E59&lt;0.5,"L0 — Inicial",IF(E59&lt;1.5,"L1 — Em Desenvolvimento",IF(E59&lt;2.5,"L2 — Definido",IF(E59&lt;3.5,"L3 — Gerenciado","L4 — Otimizando")))))</f>
        <v/>
      </c>
      <c r="J59" t="inlineStr">
        <is>
          <t>Adoção em mais de 75% dos squads; biblioteca de templates compartilhada e métricas DORA monitoradas.</t>
        </is>
      </c>
    </row>
    <row r="60">
      <c r="A60" t="inlineStr">
        <is>
          <t>P2-C1-Q6</t>
        </is>
      </c>
      <c r="B60" t="inlineStr">
        <is>
          <t>P2</t>
        </is>
      </c>
      <c r="C60" t="inlineStr">
        <is>
          <t>P2-C1</t>
        </is>
      </c>
      <c r="D60" t="inlineStr">
        <is>
          <t>Em que medida Inteligência de Pipeline CI/CD (feature flags for progressive delivery) foi adotado entre as equipes?</t>
        </is>
      </c>
      <c r="E60" t="n">
        <v>2</v>
      </c>
      <c r="F60" t="n">
        <v>1</v>
      </c>
      <c r="G60">
        <f>IF(E60="",0,1)</f>
        <v/>
      </c>
      <c r="H60">
        <f>IF(G60=1,E60*F60,0)</f>
        <v/>
      </c>
      <c r="I60">
        <f>IF(E60="","—",IF(E60&lt;0.5,"L0 — Inicial",IF(E60&lt;1.5,"L1 — Em Desenvolvimento",IF(E60&lt;2.5,"L2 — Definido",IF(E60&lt;3.5,"L3 — Gerenciado","L4 — Otimizando")))))</f>
        <v/>
      </c>
      <c r="J60" t="inlineStr">
        <is>
          <t>Cobertura de ~40% das equipes com diretrizes escritas e treinamento básico.</t>
        </is>
      </c>
    </row>
    <row r="61">
      <c r="A61" t="inlineStr">
        <is>
          <t>P2-C2-Q1</t>
        </is>
      </c>
      <c r="B61" t="inlineStr">
        <is>
          <t>P2</t>
        </is>
      </c>
      <c r="C61" t="inlineStr">
        <is>
          <t>P2-C2</t>
        </is>
      </c>
      <c r="D61" t="inlineStr">
        <is>
          <t>Qual porcentagem de sua infraestrutura é gerenciada por código?</t>
        </is>
      </c>
      <c r="F61" t="n">
        <v>1</v>
      </c>
      <c r="G61">
        <f>IF(E61="",0,1)</f>
        <v/>
      </c>
      <c r="H61">
        <f>IF(G61=1,E61*F61,0)</f>
        <v/>
      </c>
      <c r="I61">
        <f>IF(E61="","—",IF(E61&lt;0.5,"L0 — Inicial",IF(E61&lt;1.5,"L1 — Em Desenvolvimento",IF(E61&lt;2.5,"L2 — Definido",IF(E61&lt;3.5,"L3 — Gerenciado","L4 — Otimizando")))))</f>
        <v/>
      </c>
      <c r="J61" t="inlineStr"/>
    </row>
    <row r="62">
      <c r="A62" t="inlineStr">
        <is>
          <t>P2-C2-Q2</t>
        </is>
      </c>
      <c r="B62" t="inlineStr">
        <is>
          <t>P2</t>
        </is>
      </c>
      <c r="C62" t="inlineStr">
        <is>
          <t>P2-C2</t>
        </is>
      </c>
      <c r="D62" t="inlineStr">
        <is>
          <t>Em que medida Infraestrutura como Código (Terraform/Bicep-based IaC) foi adotado entre as equipes?</t>
        </is>
      </c>
      <c r="F62" t="n">
        <v>1</v>
      </c>
      <c r="G62">
        <f>IF(E62="",0,1)</f>
        <v/>
      </c>
      <c r="H62">
        <f>IF(G62=1,E62*F62,0)</f>
        <v/>
      </c>
      <c r="I62">
        <f>IF(E62="","—",IF(E62&lt;0.5,"L0 — Inicial",IF(E62&lt;1.5,"L1 — Em Desenvolvimento",IF(E62&lt;2.5,"L2 — Definido",IF(E62&lt;3.5,"L3 — Gerenciado","L4 — Otimizando")))))</f>
        <v/>
      </c>
      <c r="J62" t="inlineStr"/>
    </row>
    <row r="63">
      <c r="A63" t="inlineStr">
        <is>
          <t>P2-C2-Q3</t>
        </is>
      </c>
      <c r="B63" t="inlineStr">
        <is>
          <t>P2</t>
        </is>
      </c>
      <c r="C63" t="inlineStr">
        <is>
          <t>P2-C2</t>
        </is>
      </c>
      <c r="D63" t="inlineStr">
        <is>
          <t>Em que medida Infraestrutura como Código (module and pattern library) foi adotado entre as equipes?</t>
        </is>
      </c>
      <c r="F63" t="n">
        <v>1</v>
      </c>
      <c r="G63">
        <f>IF(E63="",0,1)</f>
        <v/>
      </c>
      <c r="H63">
        <f>IF(G63=1,E63*F63,0)</f>
        <v/>
      </c>
      <c r="I63">
        <f>IF(E63="","—",IF(E63&lt;0.5,"L0 — Inicial",IF(E63&lt;1.5,"L1 — Em Desenvolvimento",IF(E63&lt;2.5,"L2 — Definido",IF(E63&lt;3.5,"L3 — Gerenciado","L4 — Otimizando")))))</f>
        <v/>
      </c>
      <c r="J63" t="inlineStr"/>
    </row>
    <row r="64">
      <c r="A64" t="inlineStr">
        <is>
          <t>P2-C2-Q4</t>
        </is>
      </c>
      <c r="B64" t="inlineStr">
        <is>
          <t>P2</t>
        </is>
      </c>
      <c r="C64" t="inlineStr">
        <is>
          <t>P2-C2</t>
        </is>
      </c>
      <c r="D64" t="inlineStr">
        <is>
          <t>Em que medida Infraestrutura como Código (GitOps for config drift) foi adotado entre as equipes?</t>
        </is>
      </c>
      <c r="F64" t="n">
        <v>1</v>
      </c>
      <c r="G64">
        <f>IF(E64="",0,1)</f>
        <v/>
      </c>
      <c r="H64">
        <f>IF(G64=1,E64*F64,0)</f>
        <v/>
      </c>
      <c r="I64">
        <f>IF(E64="","—",IF(E64&lt;0.5,"L0 — Inicial",IF(E64&lt;1.5,"L1 — Em Desenvolvimento",IF(E64&lt;2.5,"L2 — Definido",IF(E64&lt;3.5,"L3 — Gerenciado","L4 — Otimizando")))))</f>
        <v/>
      </c>
      <c r="J64" t="inlineStr"/>
    </row>
    <row r="65">
      <c r="A65" t="inlineStr">
        <is>
          <t>P2-C2-Q5</t>
        </is>
      </c>
      <c r="B65" t="inlineStr">
        <is>
          <t>P2</t>
        </is>
      </c>
      <c r="C65" t="inlineStr">
        <is>
          <t>P2-C2</t>
        </is>
      </c>
      <c r="D65" t="inlineStr">
        <is>
          <t>Em que medida Infraestrutura como Código (policy-as-code (OPA/Conftest)) foi adotado entre as equipes?</t>
        </is>
      </c>
      <c r="F65" t="n">
        <v>1</v>
      </c>
      <c r="G65">
        <f>IF(E65="",0,1)</f>
        <v/>
      </c>
      <c r="H65">
        <f>IF(G65=1,E65*F65,0)</f>
        <v/>
      </c>
      <c r="I65">
        <f>IF(E65="","—",IF(E65&lt;0.5,"L0 — Inicial",IF(E65&lt;1.5,"L1 — Em Desenvolvimento",IF(E65&lt;2.5,"L2 — Definido",IF(E65&lt;3.5,"L3 — Gerenciado","L4 — Otimizando")))))</f>
        <v/>
      </c>
      <c r="J65" t="inlineStr"/>
    </row>
    <row r="66">
      <c r="A66" t="inlineStr">
        <is>
          <t>P2-C2-Q6</t>
        </is>
      </c>
      <c r="B66" t="inlineStr">
        <is>
          <t>P2</t>
        </is>
      </c>
      <c r="C66" t="inlineStr">
        <is>
          <t>P2-C2</t>
        </is>
      </c>
      <c r="D66" t="inlineStr">
        <is>
          <t>Em que medida Infraestrutura como Código (ephemeral environment per PR) foi adotado entre as equipes?</t>
        </is>
      </c>
      <c r="F66" t="n">
        <v>1</v>
      </c>
      <c r="G66">
        <f>IF(E66="",0,1)</f>
        <v/>
      </c>
      <c r="H66">
        <f>IF(G66=1,E66*F66,0)</f>
        <v/>
      </c>
      <c r="I66">
        <f>IF(E66="","—",IF(E66&lt;0.5,"L0 — Inicial",IF(E66&lt;1.5,"L1 — Em Desenvolvimento",IF(E66&lt;2.5,"L2 — Definido",IF(E66&lt;3.5,"L3 — Gerenciado","L4 — Otimizando")))))</f>
        <v/>
      </c>
      <c r="J66" t="inlineStr"/>
    </row>
    <row r="67">
      <c r="A67" t="inlineStr">
        <is>
          <t>P2-C3-Q1</t>
        </is>
      </c>
      <c r="B67" t="inlineStr">
        <is>
          <t>P2</t>
        </is>
      </c>
      <c r="C67" t="inlineStr">
        <is>
          <t>P2-C3</t>
        </is>
      </c>
      <c r="D67" t="inlineStr">
        <is>
          <t>Quão abrangente é sua stack de observabilidade (logs, métricas, traces)?</t>
        </is>
      </c>
      <c r="E67" t="n">
        <v>3</v>
      </c>
      <c r="F67" t="n">
        <v>1</v>
      </c>
      <c r="G67">
        <f>IF(E67="",0,1)</f>
        <v/>
      </c>
      <c r="H67">
        <f>IF(G67=1,E67*F67,0)</f>
        <v/>
      </c>
      <c r="I67">
        <f>IF(E67="","—",IF(E67&lt;0.5,"L0 — Inicial",IF(E67&lt;1.5,"L1 — Em Desenvolvimento",IF(E67&lt;2.5,"L2 — Definido",IF(E67&lt;3.5,"L3 — Gerenciado","L4 — Otimizando")))))</f>
        <v/>
      </c>
      <c r="J67" t="inlineStr">
        <is>
          <t>Programa maduro com ~85% cobertura, dashboards Grafana ativos e revisão trimestral.</t>
        </is>
      </c>
    </row>
    <row r="68">
      <c r="A68" t="inlineStr">
        <is>
          <t>P2-C3-Q2</t>
        </is>
      </c>
      <c r="B68" t="inlineStr">
        <is>
          <t>P2</t>
        </is>
      </c>
      <c r="C68" t="inlineStr">
        <is>
          <t>P2-C3</t>
        </is>
      </c>
      <c r="D68" t="inlineStr">
        <is>
          <t>Em que medida Observabilidade e Monitoramento (structured logging w/ correlation IDs) foi adotado entre as equipes?</t>
        </is>
      </c>
      <c r="E68" t="n">
        <v>2</v>
      </c>
      <c r="F68" t="n">
        <v>1</v>
      </c>
      <c r="G68">
        <f>IF(E68="",0,1)</f>
        <v/>
      </c>
      <c r="H68">
        <f>IF(G68=1,E68*F68,0)</f>
        <v/>
      </c>
      <c r="I68">
        <f>IF(E68="","—",IF(E68&lt;0.5,"L0 — Inicial",IF(E68&lt;1.5,"L1 — Em Desenvolvimento",IF(E68&lt;2.5,"L2 — Definido",IF(E68&lt;3.5,"L3 — Gerenciado","L4 — Otimizando")))))</f>
        <v/>
      </c>
      <c r="J68" t="inlineStr">
        <is>
          <t>Cobertura de ~40% das equipes com diretrizes escritas e treinamento básico.</t>
        </is>
      </c>
    </row>
    <row r="69">
      <c r="A69" t="inlineStr">
        <is>
          <t>P2-C3-Q3</t>
        </is>
      </c>
      <c r="B69" t="inlineStr">
        <is>
          <t>P2</t>
        </is>
      </c>
      <c r="C69" t="inlineStr">
        <is>
          <t>P2-C3</t>
        </is>
      </c>
      <c r="D69" t="inlineStr">
        <is>
          <t>Em que medida Observabilidade e Monitoramento (distributed tracing (OpenTelemetry)) foi adotado entre as equipes?</t>
        </is>
      </c>
      <c r="E69" t="n">
        <v>3</v>
      </c>
      <c r="F69" t="n">
        <v>1</v>
      </c>
      <c r="G69">
        <f>IF(E69="",0,1)</f>
        <v/>
      </c>
      <c r="H69">
        <f>IF(G69=1,E69*F69,0)</f>
        <v/>
      </c>
      <c r="I69">
        <f>IF(E69="","—",IF(E69&lt;0.5,"L0 — Inicial",IF(E69&lt;1.5,"L1 — Em Desenvolvimento",IF(E69&lt;2.5,"L2 — Definido",IF(E69&lt;3.5,"L3 — Gerenciado","L4 — Otimizando")))))</f>
        <v/>
      </c>
      <c r="J69" t="inlineStr">
        <is>
          <t>Programa maduro com ~85% cobertura, dashboards Grafana ativos e revisão trimestral.</t>
        </is>
      </c>
    </row>
    <row r="70">
      <c r="A70" t="inlineStr">
        <is>
          <t>P2-C3-Q4</t>
        </is>
      </c>
      <c r="B70" t="inlineStr">
        <is>
          <t>P2</t>
        </is>
      </c>
      <c r="C70" t="inlineStr">
        <is>
          <t>P2-C3</t>
        </is>
      </c>
      <c r="D70" t="inlineStr">
        <is>
          <t>Em que medida Observabilidade e Monitoramento (SLOs and error budgets) foi adotado entre as equipes?</t>
        </is>
      </c>
      <c r="E70" t="n">
        <v>2</v>
      </c>
      <c r="F70" t="n">
        <v>1</v>
      </c>
      <c r="G70">
        <f>IF(E70="",0,1)</f>
        <v/>
      </c>
      <c r="H70">
        <f>IF(G70=1,E70*F70,0)</f>
        <v/>
      </c>
      <c r="I70">
        <f>IF(E70="","—",IF(E70&lt;0.5,"L0 — Inicial",IF(E70&lt;1.5,"L1 — Em Desenvolvimento",IF(E70&lt;2.5,"L2 — Definido",IF(E70&lt;3.5,"L3 — Gerenciado","L4 — Otimizando")))))</f>
        <v/>
      </c>
      <c r="J70" t="inlineStr">
        <is>
          <t>Cobertura de ~40% das equipes com diretrizes escritas e treinamento básico.</t>
        </is>
      </c>
    </row>
    <row r="71">
      <c r="A71" t="inlineStr">
        <is>
          <t>P2-C3-Q5</t>
        </is>
      </c>
      <c r="B71" t="inlineStr">
        <is>
          <t>P2</t>
        </is>
      </c>
      <c r="C71" t="inlineStr">
        <is>
          <t>P2-C3</t>
        </is>
      </c>
      <c r="D71" t="inlineStr">
        <is>
          <t>Em que medida Observabilidade e Monitoramento (synthetic monitoring) foi adotado entre as equipes?</t>
        </is>
      </c>
      <c r="E71" t="n">
        <v>2</v>
      </c>
      <c r="F71" t="n">
        <v>1</v>
      </c>
      <c r="G71">
        <f>IF(E71="",0,1)</f>
        <v/>
      </c>
      <c r="H71">
        <f>IF(G71=1,E71*F71,0)</f>
        <v/>
      </c>
      <c r="I71">
        <f>IF(E71="","—",IF(E71&lt;0.5,"L0 — Inicial",IF(E71&lt;1.5,"L1 — Em Desenvolvimento",IF(E71&lt;2.5,"L2 — Definido",IF(E71&lt;3.5,"L3 — Gerenciado","L4 — Otimizando")))))</f>
        <v/>
      </c>
      <c r="J71" t="inlineStr">
        <is>
          <t>Cobertura de ~40% das equipes com diretrizes escritas e treinamento básico.</t>
        </is>
      </c>
    </row>
    <row r="72">
      <c r="A72" t="inlineStr">
        <is>
          <t>P2-C3-Q6</t>
        </is>
      </c>
      <c r="B72" t="inlineStr">
        <is>
          <t>P2</t>
        </is>
      </c>
      <c r="C72" t="inlineStr">
        <is>
          <t>P2-C3</t>
        </is>
      </c>
      <c r="D72" t="inlineStr">
        <is>
          <t>Em que medida Observabilidade e Monitoramento (anomaly detection with ML) foi adotado entre as equipes?</t>
        </is>
      </c>
      <c r="F72" t="n">
        <v>1</v>
      </c>
      <c r="G72">
        <f>IF(E72="",0,1)</f>
        <v/>
      </c>
      <c r="H72">
        <f>IF(G72=1,E72*F72,0)</f>
        <v/>
      </c>
      <c r="I72">
        <f>IF(E72="","—",IF(E72&lt;0.5,"L0 — Inicial",IF(E72&lt;1.5,"L1 — Em Desenvolvimento",IF(E72&lt;2.5,"L2 — Definido",IF(E72&lt;3.5,"L3 — Gerenciado","L4 — Otimizando")))))</f>
        <v/>
      </c>
      <c r="J72" t="inlineStr"/>
    </row>
    <row r="73">
      <c r="A73" t="inlineStr">
        <is>
          <t>P2-C4-Q1</t>
        </is>
      </c>
      <c r="B73" t="inlineStr">
        <is>
          <t>P2</t>
        </is>
      </c>
      <c r="C73" t="inlineStr">
        <is>
          <t>P2-C4</t>
        </is>
      </c>
      <c r="D73" t="inlineStr">
        <is>
          <t>Quão integrada está a segurança no seu pipeline de desenvolvimento e implantação?</t>
        </is>
      </c>
      <c r="E73" t="n">
        <v>1</v>
      </c>
      <c r="F73" t="n">
        <v>1</v>
      </c>
      <c r="G73">
        <f>IF(E73="",0,1)</f>
        <v/>
      </c>
      <c r="H73">
        <f>IF(G73=1,E73*F73,0)</f>
        <v/>
      </c>
      <c r="I73">
        <f>IF(E73="","—",IF(E73&lt;0.5,"L0 — Inicial",IF(E73&lt;1.5,"L1 — Em Desenvolvimento",IF(E73&lt;2.5,"L2 — Definido",IF(E73&lt;3.5,"L3 — Gerenciado","L4 — Otimizando")))))</f>
        <v/>
      </c>
      <c r="J73" t="inlineStr">
        <is>
          <t>Adoção esporádica por iniciativa de tech leads, sem KPIs definidos.</t>
        </is>
      </c>
    </row>
    <row r="74">
      <c r="A74" t="inlineStr">
        <is>
          <t>P2-C4-Q2</t>
        </is>
      </c>
      <c r="B74" t="inlineStr">
        <is>
          <t>P2</t>
        </is>
      </c>
      <c r="C74" t="inlineStr">
        <is>
          <t>P2-C4</t>
        </is>
      </c>
      <c r="D74" t="inlineStr">
        <is>
          <t>Em que medida Integração de Segurança (DevSecOps) (SAST in every pipeline) foi adotado entre as equipes?</t>
        </is>
      </c>
      <c r="E74" t="n">
        <v>0</v>
      </c>
      <c r="F74" t="n">
        <v>1</v>
      </c>
      <c r="G74">
        <f>IF(E74="",0,1)</f>
        <v/>
      </c>
      <c r="H74">
        <f>IF(G74=1,E74*F74,0)</f>
        <v/>
      </c>
      <c r="I74">
        <f>IF(E74="","—",IF(E74&lt;0.5,"L0 — Inicial",IF(E74&lt;1.5,"L1 — Em Desenvolvimento",IF(E74&lt;2.5,"L2 — Definido",IF(E74&lt;3.5,"L3 — Gerenciado","L4 — Otimizando")))))</f>
        <v/>
      </c>
      <c r="J74" t="inlineStr">
        <is>
          <t>Sem prática estabelecida — nenhuma ferramenta ou política implementada.</t>
        </is>
      </c>
    </row>
    <row r="75">
      <c r="A75" t="inlineStr">
        <is>
          <t>P2-C4-Q3</t>
        </is>
      </c>
      <c r="B75" t="inlineStr">
        <is>
          <t>P2</t>
        </is>
      </c>
      <c r="C75" t="inlineStr">
        <is>
          <t>P2-C4</t>
        </is>
      </c>
      <c r="D75" t="inlineStr">
        <is>
          <t>Em que medida Integração de Segurança (DevSecOps) (SCA and dependency review) foi adotado entre as equipes?</t>
        </is>
      </c>
      <c r="E75" t="n">
        <v>1</v>
      </c>
      <c r="F75" t="n">
        <v>1</v>
      </c>
      <c r="G75">
        <f>IF(E75="",0,1)</f>
        <v/>
      </c>
      <c r="H75">
        <f>IF(G75=1,E75*F75,0)</f>
        <v/>
      </c>
      <c r="I75">
        <f>IF(E75="","—",IF(E75&lt;0.5,"L0 — Inicial",IF(E75&lt;1.5,"L1 — Em Desenvolvimento",IF(E75&lt;2.5,"L2 — Definido",IF(E75&lt;3.5,"L3 — Gerenciado","L4 — Otimizando")))))</f>
        <v/>
      </c>
      <c r="J75" t="inlineStr">
        <is>
          <t>Piloto isolado em 1 squad (~8% dos times); sem governança formal.</t>
        </is>
      </c>
    </row>
    <row r="76">
      <c r="A76" t="inlineStr">
        <is>
          <t>P2-C4-Q4</t>
        </is>
      </c>
      <c r="B76" t="inlineStr">
        <is>
          <t>P2</t>
        </is>
      </c>
      <c r="C76" t="inlineStr">
        <is>
          <t>P2-C4</t>
        </is>
      </c>
      <c r="D76" t="inlineStr">
        <is>
          <t>Em que medida Integração de Segurança (DevSecOps) (secret scanning and push protection) foi adotado entre as equipes?</t>
        </is>
      </c>
      <c r="E76" t="n">
        <v>1</v>
      </c>
      <c r="F76" t="n">
        <v>1</v>
      </c>
      <c r="G76">
        <f>IF(E76="",0,1)</f>
        <v/>
      </c>
      <c r="H76">
        <f>IF(G76=1,E76*F76,0)</f>
        <v/>
      </c>
      <c r="I76">
        <f>IF(E76="","—",IF(E76&lt;0.5,"L0 — Inicial",IF(E76&lt;1.5,"L1 — Em Desenvolvimento",IF(E76&lt;2.5,"L2 — Definido",IF(E76&lt;3.5,"L3 — Gerenciado","L4 — Otimizando")))))</f>
        <v/>
      </c>
      <c r="J76" t="inlineStr">
        <is>
          <t>Programa em fase exploratória; menos de 15% de cobertura medida.</t>
        </is>
      </c>
    </row>
    <row r="77">
      <c r="A77" t="inlineStr">
        <is>
          <t>P2-C4-Q5</t>
        </is>
      </c>
      <c r="B77" t="inlineStr">
        <is>
          <t>P2</t>
        </is>
      </c>
      <c r="C77" t="inlineStr">
        <is>
          <t>P2-C4</t>
        </is>
      </c>
      <c r="D77" t="inlineStr">
        <is>
          <t>Em que medida Integração de Segurança (DevSecOps) (DAST and API security testing) foi adotado entre as equipes?</t>
        </is>
      </c>
      <c r="F77" t="n">
        <v>1</v>
      </c>
      <c r="G77">
        <f>IF(E77="",0,1)</f>
        <v/>
      </c>
      <c r="H77">
        <f>IF(G77=1,E77*F77,0)</f>
        <v/>
      </c>
      <c r="I77">
        <f>IF(E77="","—",IF(E77&lt;0.5,"L0 — Inicial",IF(E77&lt;1.5,"L1 — Em Desenvolvimento",IF(E77&lt;2.5,"L2 — Definido",IF(E77&lt;3.5,"L3 — Gerenciado","L4 — Otimizando")))))</f>
        <v/>
      </c>
      <c r="J77" t="inlineStr"/>
    </row>
    <row r="78">
      <c r="A78" t="inlineStr">
        <is>
          <t>P2-C4-Q6</t>
        </is>
      </c>
      <c r="B78" t="inlineStr">
        <is>
          <t>P2</t>
        </is>
      </c>
      <c r="C78" t="inlineStr">
        <is>
          <t>P2-C4</t>
        </is>
      </c>
      <c r="D78" t="inlineStr">
        <is>
          <t>Em que medida Integração de Segurança (DevSecOps) (security champions program) foi adotado entre as equipes?</t>
        </is>
      </c>
      <c r="F78" t="n">
        <v>1</v>
      </c>
      <c r="G78">
        <f>IF(E78="",0,1)</f>
        <v/>
      </c>
      <c r="H78">
        <f>IF(G78=1,E78*F78,0)</f>
        <v/>
      </c>
      <c r="I78">
        <f>IF(E78="","—",IF(E78&lt;0.5,"L0 — Inicial",IF(E78&lt;1.5,"L1 — Em Desenvolvimento",IF(E78&lt;2.5,"L2 — Definido",IF(E78&lt;3.5,"L3 — Gerenciado","L4 — Otimizando")))))</f>
        <v/>
      </c>
      <c r="J78" t="inlineStr"/>
    </row>
    <row r="79">
      <c r="A79" t="inlineStr">
        <is>
          <t>P2-C5-Q1</t>
        </is>
      </c>
      <c r="B79" t="inlineStr">
        <is>
          <t>P2</t>
        </is>
      </c>
      <c r="C79" t="inlineStr">
        <is>
          <t>P2-C5</t>
        </is>
      </c>
      <c r="D79" t="inlineStr">
        <is>
          <t>Em que medida Estratégias de Release e Implantação (blue/green or canary deploys) foi adotado entre as equipes?</t>
        </is>
      </c>
      <c r="F79" t="n">
        <v>1</v>
      </c>
      <c r="G79">
        <f>IF(E79="",0,1)</f>
        <v/>
      </c>
      <c r="H79">
        <f>IF(G79=1,E79*F79,0)</f>
        <v/>
      </c>
      <c r="I79">
        <f>IF(E79="","—",IF(E79&lt;0.5,"L0 — Inicial",IF(E79&lt;1.5,"L1 — Em Desenvolvimento",IF(E79&lt;2.5,"L2 — Definido",IF(E79&lt;3.5,"L3 — Gerenciado","L4 — Otimizando")))))</f>
        <v/>
      </c>
      <c r="J79" t="inlineStr"/>
    </row>
    <row r="80">
      <c r="A80" t="inlineStr">
        <is>
          <t>P2-C5-Q2</t>
        </is>
      </c>
      <c r="B80" t="inlineStr">
        <is>
          <t>P2</t>
        </is>
      </c>
      <c r="C80" t="inlineStr">
        <is>
          <t>P2-C5</t>
        </is>
      </c>
      <c r="D80" t="inlineStr">
        <is>
          <t>Em que medida Estratégias de Release e Implantação (automated rollback) foi adotado entre as equipes?</t>
        </is>
      </c>
      <c r="F80" t="n">
        <v>1</v>
      </c>
      <c r="G80">
        <f>IF(E80="",0,1)</f>
        <v/>
      </c>
      <c r="H80">
        <f>IF(G80=1,E80*F80,0)</f>
        <v/>
      </c>
      <c r="I80">
        <f>IF(E80="","—",IF(E80&lt;0.5,"L0 — Inicial",IF(E80&lt;1.5,"L1 — Em Desenvolvimento",IF(E80&lt;2.5,"L2 — Definido",IF(E80&lt;3.5,"L3 — Gerenciado","L4 — Otimizando")))))</f>
        <v/>
      </c>
      <c r="J80" t="inlineStr"/>
    </row>
    <row r="81">
      <c r="A81" t="inlineStr">
        <is>
          <t>P2-C5-Q3</t>
        </is>
      </c>
      <c r="B81" t="inlineStr">
        <is>
          <t>P2</t>
        </is>
      </c>
      <c r="C81" t="inlineStr">
        <is>
          <t>P2-C5</t>
        </is>
      </c>
      <c r="D81" t="inlineStr">
        <is>
          <t>Em que medida Estratégias de Release e Implantação (feature flag platform) foi adotado entre as equipes?</t>
        </is>
      </c>
      <c r="F81" t="n">
        <v>1</v>
      </c>
      <c r="G81">
        <f>IF(E81="",0,1)</f>
        <v/>
      </c>
      <c r="H81">
        <f>IF(G81=1,E81*F81,0)</f>
        <v/>
      </c>
      <c r="I81">
        <f>IF(E81="","—",IF(E81&lt;0.5,"L0 — Inicial",IF(E81&lt;1.5,"L1 — Em Desenvolvimento",IF(E81&lt;2.5,"L2 — Definido",IF(E81&lt;3.5,"L3 — Gerenciado","L4 — Otimizando")))))</f>
        <v/>
      </c>
      <c r="J81" t="inlineStr"/>
    </row>
    <row r="82">
      <c r="A82" t="inlineStr">
        <is>
          <t>P2-C5-Q4</t>
        </is>
      </c>
      <c r="B82" t="inlineStr">
        <is>
          <t>P2</t>
        </is>
      </c>
      <c r="C82" t="inlineStr">
        <is>
          <t>P2-C5</t>
        </is>
      </c>
      <c r="D82" t="inlineStr">
        <is>
          <t>Em que medida Estratégias de Release e Implantação (release coordination via ChatOps) foi adotado entre as equipes?</t>
        </is>
      </c>
      <c r="F82" t="n">
        <v>1</v>
      </c>
      <c r="G82">
        <f>IF(E82="",0,1)</f>
        <v/>
      </c>
      <c r="H82">
        <f>IF(G82=1,E82*F82,0)</f>
        <v/>
      </c>
      <c r="I82">
        <f>IF(E82="","—",IF(E82&lt;0.5,"L0 — Inicial",IF(E82&lt;1.5,"L1 — Em Desenvolvimento",IF(E82&lt;2.5,"L2 — Definido",IF(E82&lt;3.5,"L3 — Gerenciado","L4 — Otimizando")))))</f>
        <v/>
      </c>
      <c r="J82" t="inlineStr"/>
    </row>
    <row r="83">
      <c r="A83" t="inlineStr">
        <is>
          <t>P2-C5-Q5</t>
        </is>
      </c>
      <c r="B83" t="inlineStr">
        <is>
          <t>P2</t>
        </is>
      </c>
      <c r="C83" t="inlineStr">
        <is>
          <t>P2-C5</t>
        </is>
      </c>
      <c r="D83" t="inlineStr">
        <is>
          <t>Em que medida Estratégias de Release e Implantação (progressive delivery across regions) foi adotado entre as equipes?</t>
        </is>
      </c>
      <c r="F83" t="n">
        <v>1</v>
      </c>
      <c r="G83">
        <f>IF(E83="",0,1)</f>
        <v/>
      </c>
      <c r="H83">
        <f>IF(G83=1,E83*F83,0)</f>
        <v/>
      </c>
      <c r="I83">
        <f>IF(E83="","—",IF(E83&lt;0.5,"L0 — Inicial",IF(E83&lt;1.5,"L1 — Em Desenvolvimento",IF(E83&lt;2.5,"L2 — Definido",IF(E83&lt;3.5,"L3 — Gerenciado","L4 — Otimizando")))))</f>
        <v/>
      </c>
      <c r="J83" t="inlineStr"/>
    </row>
    <row r="84">
      <c r="A84" t="inlineStr">
        <is>
          <t>P2-C5-Q6</t>
        </is>
      </c>
      <c r="B84" t="inlineStr">
        <is>
          <t>P2</t>
        </is>
      </c>
      <c r="C84" t="inlineStr">
        <is>
          <t>P2-C5</t>
        </is>
      </c>
      <c r="D84" t="inlineStr">
        <is>
          <t>Em que medida Estratégias de Release e Implantação (release metrics dashboard) foi adotado entre as equipes?</t>
        </is>
      </c>
      <c r="F84" t="n">
        <v>1</v>
      </c>
      <c r="G84">
        <f>IF(E84="",0,1)</f>
        <v/>
      </c>
      <c r="H84">
        <f>IF(G84=1,E84*F84,0)</f>
        <v/>
      </c>
      <c r="I84">
        <f>IF(E84="","—",IF(E84&lt;0.5,"L0 — Inicial",IF(E84&lt;1.5,"L1 — Em Desenvolvimento",IF(E84&lt;2.5,"L2 — Definido",IF(E84&lt;3.5,"L3 — Gerenciado","L4 — Otimizando")))))</f>
        <v/>
      </c>
      <c r="J84" t="inlineStr"/>
    </row>
    <row r="85">
      <c r="A85" t="inlineStr">
        <is>
          <t>P2-C6-Q1</t>
        </is>
      </c>
      <c r="B85" t="inlineStr">
        <is>
          <t>P2</t>
        </is>
      </c>
      <c r="C85" t="inlineStr">
        <is>
          <t>P2-C6</t>
        </is>
      </c>
      <c r="D85" t="inlineStr">
        <is>
          <t>Em que medida Automação de Testes (unit test coverage targets) foi adotado entre as equipes?</t>
        </is>
      </c>
      <c r="F85" t="n">
        <v>1</v>
      </c>
      <c r="G85">
        <f>IF(E85="",0,1)</f>
        <v/>
      </c>
      <c r="H85">
        <f>IF(G85=1,E85*F85,0)</f>
        <v/>
      </c>
      <c r="I85">
        <f>IF(E85="","—",IF(E85&lt;0.5,"L0 — Inicial",IF(E85&lt;1.5,"L1 — Em Desenvolvimento",IF(E85&lt;2.5,"L2 — Definido",IF(E85&lt;3.5,"L3 — Gerenciado","L4 — Otimizando")))))</f>
        <v/>
      </c>
      <c r="J85" t="inlineStr"/>
    </row>
    <row r="86">
      <c r="A86" t="inlineStr">
        <is>
          <t>P2-C6-Q2</t>
        </is>
      </c>
      <c r="B86" t="inlineStr">
        <is>
          <t>P2</t>
        </is>
      </c>
      <c r="C86" t="inlineStr">
        <is>
          <t>P2-C6</t>
        </is>
      </c>
      <c r="D86" t="inlineStr">
        <is>
          <t>Em que medida Automação de Testes (integration test suites) foi adotado entre as equipes?</t>
        </is>
      </c>
      <c r="F86" t="n">
        <v>1</v>
      </c>
      <c r="G86">
        <f>IF(E86="",0,1)</f>
        <v/>
      </c>
      <c r="H86">
        <f>IF(G86=1,E86*F86,0)</f>
        <v/>
      </c>
      <c r="I86">
        <f>IF(E86="","—",IF(E86&lt;0.5,"L0 — Inicial",IF(E86&lt;1.5,"L1 — Em Desenvolvimento",IF(E86&lt;2.5,"L2 — Definido",IF(E86&lt;3.5,"L3 — Gerenciado","L4 — Otimizando")))))</f>
        <v/>
      </c>
      <c r="J86" t="inlineStr"/>
    </row>
    <row r="87">
      <c r="A87" t="inlineStr">
        <is>
          <t>P2-C6-Q3</t>
        </is>
      </c>
      <c r="B87" t="inlineStr">
        <is>
          <t>P2</t>
        </is>
      </c>
      <c r="C87" t="inlineStr">
        <is>
          <t>P2-C6</t>
        </is>
      </c>
      <c r="D87" t="inlineStr">
        <is>
          <t>Em que medida Automação de Testes (end-to-end / journey tests) foi adotado entre as equipes?</t>
        </is>
      </c>
      <c r="F87" t="n">
        <v>1</v>
      </c>
      <c r="G87">
        <f>IF(E87="",0,1)</f>
        <v/>
      </c>
      <c r="H87">
        <f>IF(G87=1,E87*F87,0)</f>
        <v/>
      </c>
      <c r="I87">
        <f>IF(E87="","—",IF(E87&lt;0.5,"L0 — Inicial",IF(E87&lt;1.5,"L1 — Em Desenvolvimento",IF(E87&lt;2.5,"L2 — Definido",IF(E87&lt;3.5,"L3 — Gerenciado","L4 — Otimizando")))))</f>
        <v/>
      </c>
      <c r="J87" t="inlineStr"/>
    </row>
    <row r="88">
      <c r="A88" t="inlineStr">
        <is>
          <t>P2-C6-Q4</t>
        </is>
      </c>
      <c r="B88" t="inlineStr">
        <is>
          <t>P2</t>
        </is>
      </c>
      <c r="C88" t="inlineStr">
        <is>
          <t>P2-C6</t>
        </is>
      </c>
      <c r="D88" t="inlineStr">
        <is>
          <t>Em que medida Automação de Testes (contract testing) foi adotado entre as equipes?</t>
        </is>
      </c>
      <c r="F88" t="n">
        <v>1</v>
      </c>
      <c r="G88">
        <f>IF(E88="",0,1)</f>
        <v/>
      </c>
      <c r="H88">
        <f>IF(G88=1,E88*F88,0)</f>
        <v/>
      </c>
      <c r="I88">
        <f>IF(E88="","—",IF(E88&lt;0.5,"L0 — Inicial",IF(E88&lt;1.5,"L1 — Em Desenvolvimento",IF(E88&lt;2.5,"L2 — Definido",IF(E88&lt;3.5,"L3 — Gerenciado","L4 — Otimizando")))))</f>
        <v/>
      </c>
      <c r="J88" t="inlineStr"/>
    </row>
    <row r="89">
      <c r="A89" t="inlineStr">
        <is>
          <t>P2-C6-Q5</t>
        </is>
      </c>
      <c r="B89" t="inlineStr">
        <is>
          <t>P2</t>
        </is>
      </c>
      <c r="C89" t="inlineStr">
        <is>
          <t>P2-C6</t>
        </is>
      </c>
      <c r="D89" t="inlineStr">
        <is>
          <t>Em que medida Automação de Testes (AI-assisted test generation) foi adotado entre as equipes?</t>
        </is>
      </c>
      <c r="F89" t="n">
        <v>1</v>
      </c>
      <c r="G89">
        <f>IF(E89="",0,1)</f>
        <v/>
      </c>
      <c r="H89">
        <f>IF(G89=1,E89*F89,0)</f>
        <v/>
      </c>
      <c r="I89">
        <f>IF(E89="","—",IF(E89&lt;0.5,"L0 — Inicial",IF(E89&lt;1.5,"L1 — Em Desenvolvimento",IF(E89&lt;2.5,"L2 — Definido",IF(E89&lt;3.5,"L3 — Gerenciado","L4 — Otimizando")))))</f>
        <v/>
      </c>
      <c r="J89" t="inlineStr"/>
    </row>
    <row r="90">
      <c r="A90" t="inlineStr">
        <is>
          <t>P2-C6-Q6</t>
        </is>
      </c>
      <c r="B90" t="inlineStr">
        <is>
          <t>P2</t>
        </is>
      </c>
      <c r="C90" t="inlineStr">
        <is>
          <t>P2-C6</t>
        </is>
      </c>
      <c r="D90" t="inlineStr">
        <is>
          <t>Em que medida Automação de Testes (flaky-test detection &amp; quarantine) foi adotado entre as equipes?</t>
        </is>
      </c>
      <c r="F90" t="n">
        <v>1</v>
      </c>
      <c r="G90">
        <f>IF(E90="",0,1)</f>
        <v/>
      </c>
      <c r="H90">
        <f>IF(G90=1,E90*F90,0)</f>
        <v/>
      </c>
      <c r="I90">
        <f>IF(E90="","—",IF(E90&lt;0.5,"L0 — Inicial",IF(E90&lt;1.5,"L1 — Em Desenvolvimento",IF(E90&lt;2.5,"L2 — Definido",IF(E90&lt;3.5,"L3 — Gerenciado","L4 — Otimizando")))))</f>
        <v/>
      </c>
      <c r="J90" t="inlineStr"/>
    </row>
    <row r="91">
      <c r="A91" t="inlineStr">
        <is>
          <t>P2-C6-Q7</t>
        </is>
      </c>
      <c r="B91" t="inlineStr">
        <is>
          <t>P2</t>
        </is>
      </c>
      <c r="C91" t="inlineStr">
        <is>
          <t>P2-C6</t>
        </is>
      </c>
      <c r="D91" t="inlineStr">
        <is>
          <t>Em que medida Automação de Testes (mutation testing) foi adotado entre as equipes?</t>
        </is>
      </c>
      <c r="F91" t="n">
        <v>1</v>
      </c>
      <c r="G91">
        <f>IF(E91="",0,1)</f>
        <v/>
      </c>
      <c r="H91">
        <f>IF(G91=1,E91*F91,0)</f>
        <v/>
      </c>
      <c r="I91">
        <f>IF(E91="","—",IF(E91&lt;0.5,"L0 — Inicial",IF(E91&lt;1.5,"L1 — Em Desenvolvimento",IF(E91&lt;2.5,"L2 — Definido",IF(E91&lt;3.5,"L3 — Gerenciado","L4 — Otimizando")))))</f>
        <v/>
      </c>
      <c r="J91" t="inlineStr"/>
    </row>
    <row r="92">
      <c r="A92" t="inlineStr">
        <is>
          <t>P2-C7-Q1</t>
        </is>
      </c>
      <c r="B92" t="inlineStr">
        <is>
          <t>P2</t>
        </is>
      </c>
      <c r="C92" t="inlineStr">
        <is>
          <t>P2-C7</t>
        </is>
      </c>
      <c r="D92" t="inlineStr">
        <is>
          <t>Em que medida Gestão de Incidentes e SRE (on-call rotation with tooling) foi adotado entre as equipes?</t>
        </is>
      </c>
      <c r="F92" t="n">
        <v>1</v>
      </c>
      <c r="G92">
        <f>IF(E92="",0,1)</f>
        <v/>
      </c>
      <c r="H92">
        <f>IF(G92=1,E92*F92,0)</f>
        <v/>
      </c>
      <c r="I92">
        <f>IF(E92="","—",IF(E92&lt;0.5,"L0 — Inicial",IF(E92&lt;1.5,"L1 — Em Desenvolvimento",IF(E92&lt;2.5,"L2 — Definido",IF(E92&lt;3.5,"L3 — Gerenciado","L4 — Otimizando")))))</f>
        <v/>
      </c>
      <c r="J92" t="inlineStr"/>
    </row>
    <row r="93">
      <c r="A93" t="inlineStr">
        <is>
          <t>P2-C7-Q2</t>
        </is>
      </c>
      <c r="B93" t="inlineStr">
        <is>
          <t>P2</t>
        </is>
      </c>
      <c r="C93" t="inlineStr">
        <is>
          <t>P2-C7</t>
        </is>
      </c>
      <c r="D93" t="inlineStr">
        <is>
          <t>Em que medida Gestão de Incidentes e SRE (blameless postmortems) foi adotado entre as equipes?</t>
        </is>
      </c>
      <c r="F93" t="n">
        <v>1</v>
      </c>
      <c r="G93">
        <f>IF(E93="",0,1)</f>
        <v/>
      </c>
      <c r="H93">
        <f>IF(G93=1,E93*F93,0)</f>
        <v/>
      </c>
      <c r="I93">
        <f>IF(E93="","—",IF(E93&lt;0.5,"L0 — Inicial",IF(E93&lt;1.5,"L1 — Em Desenvolvimento",IF(E93&lt;2.5,"L2 — Definido",IF(E93&lt;3.5,"L3 — Gerenciado","L4 — Otimizando")))))</f>
        <v/>
      </c>
      <c r="J93" t="inlineStr"/>
    </row>
    <row r="94">
      <c r="A94" t="inlineStr">
        <is>
          <t>P2-C7-Q3</t>
        </is>
      </c>
      <c r="B94" t="inlineStr">
        <is>
          <t>P2</t>
        </is>
      </c>
      <c r="C94" t="inlineStr">
        <is>
          <t>P2-C7</t>
        </is>
      </c>
      <c r="D94" t="inlineStr">
        <is>
          <t>Em que medida Gestão de Incidentes e SRE (error budget policy) foi adotado entre as equipes?</t>
        </is>
      </c>
      <c r="F94" t="n">
        <v>1</v>
      </c>
      <c r="G94">
        <f>IF(E94="",0,1)</f>
        <v/>
      </c>
      <c r="H94">
        <f>IF(G94=1,E94*F94,0)</f>
        <v/>
      </c>
      <c r="I94">
        <f>IF(E94="","—",IF(E94&lt;0.5,"L0 — Inicial",IF(E94&lt;1.5,"L1 — Em Desenvolvimento",IF(E94&lt;2.5,"L2 — Definido",IF(E94&lt;3.5,"L3 — Gerenciado","L4 — Otimizando")))))</f>
        <v/>
      </c>
      <c r="J94" t="inlineStr"/>
    </row>
    <row r="95">
      <c r="A95" t="inlineStr">
        <is>
          <t>P2-C7-Q4</t>
        </is>
      </c>
      <c r="B95" t="inlineStr">
        <is>
          <t>P2</t>
        </is>
      </c>
      <c r="C95" t="inlineStr">
        <is>
          <t>P2-C7</t>
        </is>
      </c>
      <c r="D95" t="inlineStr">
        <is>
          <t>Em que medida Gestão de Incidentes e SRE (chaos engineering) foi adotado entre as equipes?</t>
        </is>
      </c>
      <c r="F95" t="n">
        <v>1</v>
      </c>
      <c r="G95">
        <f>IF(E95="",0,1)</f>
        <v/>
      </c>
      <c r="H95">
        <f>IF(G95=1,E95*F95,0)</f>
        <v/>
      </c>
      <c r="I95">
        <f>IF(E95="","—",IF(E95&lt;0.5,"L0 — Inicial",IF(E95&lt;1.5,"L1 — Em Desenvolvimento",IF(E95&lt;2.5,"L2 — Definido",IF(E95&lt;3.5,"L3 — Gerenciado","L4 — Otimizando")))))</f>
        <v/>
      </c>
      <c r="J95" t="inlineStr"/>
    </row>
    <row r="96">
      <c r="A96" t="inlineStr">
        <is>
          <t>P2-C7-Q5</t>
        </is>
      </c>
      <c r="B96" t="inlineStr">
        <is>
          <t>P2</t>
        </is>
      </c>
      <c r="C96" t="inlineStr">
        <is>
          <t>P2-C7</t>
        </is>
      </c>
      <c r="D96" t="inlineStr">
        <is>
          <t>Em que medida Gestão de Incidentes e SRE (incident commander role) foi adotado entre as equipes?</t>
        </is>
      </c>
      <c r="F96" t="n">
        <v>1</v>
      </c>
      <c r="G96">
        <f>IF(E96="",0,1)</f>
        <v/>
      </c>
      <c r="H96">
        <f>IF(G96=1,E96*F96,0)</f>
        <v/>
      </c>
      <c r="I96">
        <f>IF(E96="","—",IF(E96&lt;0.5,"L0 — Inicial",IF(E96&lt;1.5,"L1 — Em Desenvolvimento",IF(E96&lt;2.5,"L2 — Definido",IF(E96&lt;3.5,"L3 — Gerenciado","L4 — Otimizando")))))</f>
        <v/>
      </c>
      <c r="J96" t="inlineStr"/>
    </row>
    <row r="97">
      <c r="A97" t="inlineStr">
        <is>
          <t>P2-C7-Q6</t>
        </is>
      </c>
      <c r="B97" t="inlineStr">
        <is>
          <t>P2</t>
        </is>
      </c>
      <c r="C97" t="inlineStr">
        <is>
          <t>P2-C7</t>
        </is>
      </c>
      <c r="D97" t="inlineStr">
        <is>
          <t>Em que medida Gestão de Incidentes e SRE (SRE-dev partnership model) foi adotado entre as equipes?</t>
        </is>
      </c>
      <c r="F97" t="n">
        <v>1</v>
      </c>
      <c r="G97">
        <f>IF(E97="",0,1)</f>
        <v/>
      </c>
      <c r="H97">
        <f>IF(G97=1,E97*F97,0)</f>
        <v/>
      </c>
      <c r="I97">
        <f>IF(E97="","—",IF(E97&lt;0.5,"L0 — Inicial",IF(E97&lt;1.5,"L1 — Em Desenvolvimento",IF(E97&lt;2.5,"L2 — Definido",IF(E97&lt;3.5,"L3 — Gerenciado","L4 — Otimizando")))))</f>
        <v/>
      </c>
      <c r="J97" t="inlineStr"/>
    </row>
    <row r="98">
      <c r="A98" t="inlineStr">
        <is>
          <t>P2-C7-Q7</t>
        </is>
      </c>
      <c r="B98" t="inlineStr">
        <is>
          <t>P2</t>
        </is>
      </c>
      <c r="C98" t="inlineStr">
        <is>
          <t>P2-C7</t>
        </is>
      </c>
      <c r="D98" t="inlineStr">
        <is>
          <t>Em que medida Gestão de Incidentes e SRE (runbook automation) foi adotado entre as equipes?</t>
        </is>
      </c>
      <c r="F98" t="n">
        <v>1</v>
      </c>
      <c r="G98">
        <f>IF(E98="",0,1)</f>
        <v/>
      </c>
      <c r="H98">
        <f>IF(G98=1,E98*F98,0)</f>
        <v/>
      </c>
      <c r="I98">
        <f>IF(E98="","—",IF(E98&lt;0.5,"L0 — Inicial",IF(E98&lt;1.5,"L1 — Em Desenvolvimento",IF(E98&lt;2.5,"L2 — Definido",IF(E98&lt;3.5,"L3 — Gerenciado","L4 — Otimizando")))))</f>
        <v/>
      </c>
      <c r="J98" t="inlineStr"/>
    </row>
    <row r="99">
      <c r="A99" t="inlineStr">
        <is>
          <t>P2-C8-Q1</t>
        </is>
      </c>
      <c r="B99" t="inlineStr">
        <is>
          <t>P2</t>
        </is>
      </c>
      <c r="C99" t="inlineStr">
        <is>
          <t>P2-C8</t>
        </is>
      </c>
      <c r="D99" t="inlineStr">
        <is>
          <t>Em que medida Gestão de Artefatos e Pacotes (internal package registry) foi adotado entre as equipes?</t>
        </is>
      </c>
      <c r="F99" t="n">
        <v>1</v>
      </c>
      <c r="G99">
        <f>IF(E99="",0,1)</f>
        <v/>
      </c>
      <c r="H99">
        <f>IF(G99=1,E99*F99,0)</f>
        <v/>
      </c>
      <c r="I99">
        <f>IF(E99="","—",IF(E99&lt;0.5,"L0 — Inicial",IF(E99&lt;1.5,"L1 — Em Desenvolvimento",IF(E99&lt;2.5,"L2 — Definido",IF(E99&lt;3.5,"L3 — Gerenciado","L4 — Otimizando")))))</f>
        <v/>
      </c>
      <c r="J99" t="inlineStr"/>
    </row>
    <row r="100">
      <c r="A100" t="inlineStr">
        <is>
          <t>P2-C8-Q2</t>
        </is>
      </c>
      <c r="B100" t="inlineStr">
        <is>
          <t>P2</t>
        </is>
      </c>
      <c r="C100" t="inlineStr">
        <is>
          <t>P2-C8</t>
        </is>
      </c>
      <c r="D100" t="inlineStr">
        <is>
          <t>Em que medida Gestão de Artefatos e Pacotes (SBOM for every build) foi adotado entre as equipes?</t>
        </is>
      </c>
      <c r="F100" t="n">
        <v>1</v>
      </c>
      <c r="G100">
        <f>IF(E100="",0,1)</f>
        <v/>
      </c>
      <c r="H100">
        <f>IF(G100=1,E100*F100,0)</f>
        <v/>
      </c>
      <c r="I100">
        <f>IF(E100="","—",IF(E100&lt;0.5,"L0 — Inicial",IF(E100&lt;1.5,"L1 — Em Desenvolvimento",IF(E100&lt;2.5,"L2 — Definido",IF(E100&lt;3.5,"L3 — Gerenciado","L4 — Otimizando")))))</f>
        <v/>
      </c>
      <c r="J100" t="inlineStr"/>
    </row>
    <row r="101">
      <c r="A101" t="inlineStr">
        <is>
          <t>P2-C8-Q3</t>
        </is>
      </c>
      <c r="B101" t="inlineStr">
        <is>
          <t>P2</t>
        </is>
      </c>
      <c r="C101" t="inlineStr">
        <is>
          <t>P2-C8</t>
        </is>
      </c>
      <c r="D101" t="inlineStr">
        <is>
          <t>Em que medida Gestão de Artefatos e Pacotes (artifact signing (SLSA)) foi adotado entre as equipes?</t>
        </is>
      </c>
      <c r="F101" t="n">
        <v>1</v>
      </c>
      <c r="G101">
        <f>IF(E101="",0,1)</f>
        <v/>
      </c>
      <c r="H101">
        <f>IF(G101=1,E101*F101,0)</f>
        <v/>
      </c>
      <c r="I101">
        <f>IF(E101="","—",IF(E101&lt;0.5,"L0 — Inicial",IF(E101&lt;1.5,"L1 — Em Desenvolvimento",IF(E101&lt;2.5,"L2 — Definido",IF(E101&lt;3.5,"L3 — Gerenciado","L4 — Otimizando")))))</f>
        <v/>
      </c>
      <c r="J101" t="inlineStr"/>
    </row>
    <row r="102">
      <c r="A102" t="inlineStr">
        <is>
          <t>P2-C8-Q4</t>
        </is>
      </c>
      <c r="B102" t="inlineStr">
        <is>
          <t>P2</t>
        </is>
      </c>
      <c r="C102" t="inlineStr">
        <is>
          <t>P2-C8</t>
        </is>
      </c>
      <c r="D102" t="inlineStr">
        <is>
          <t>Em que medida Gestão de Artefatos e Pacotes (vulnerability scanning of artifacts) foi adotado entre as equipes?</t>
        </is>
      </c>
      <c r="F102" t="n">
        <v>1</v>
      </c>
      <c r="G102">
        <f>IF(E102="",0,1)</f>
        <v/>
      </c>
      <c r="H102">
        <f>IF(G102=1,E102*F102,0)</f>
        <v/>
      </c>
      <c r="I102">
        <f>IF(E102="","—",IF(E102&lt;0.5,"L0 — Inicial",IF(E102&lt;1.5,"L1 — Em Desenvolvimento",IF(E102&lt;2.5,"L2 — Definido",IF(E102&lt;3.5,"L3 — Gerenciado","L4 — Otimizando")))))</f>
        <v/>
      </c>
      <c r="J102" t="inlineStr"/>
    </row>
    <row r="103">
      <c r="A103" t="inlineStr">
        <is>
          <t>P2-C8-Q5</t>
        </is>
      </c>
      <c r="B103" t="inlineStr">
        <is>
          <t>P2</t>
        </is>
      </c>
      <c r="C103" t="inlineStr">
        <is>
          <t>P2-C8</t>
        </is>
      </c>
      <c r="D103" t="inlineStr">
        <is>
          <t>Em que medida Gestão de Artefatos e Pacotes (retention &amp; promotion policies) foi adotado entre as equipes?</t>
        </is>
      </c>
      <c r="F103" t="n">
        <v>1</v>
      </c>
      <c r="G103">
        <f>IF(E103="",0,1)</f>
        <v/>
      </c>
      <c r="H103">
        <f>IF(G103=1,E103*F103,0)</f>
        <v/>
      </c>
      <c r="I103">
        <f>IF(E103="","—",IF(E103&lt;0.5,"L0 — Inicial",IF(E103&lt;1.5,"L1 — Em Desenvolvimento",IF(E103&lt;2.5,"L2 — Definido",IF(E103&lt;3.5,"L3 — Gerenciado","L4 — Otimizando")))))</f>
        <v/>
      </c>
      <c r="J103" t="inlineStr"/>
    </row>
    <row r="104">
      <c r="A104" t="inlineStr">
        <is>
          <t>P2-C9-Q1</t>
        </is>
      </c>
      <c r="B104" t="inlineStr">
        <is>
          <t>P2</t>
        </is>
      </c>
      <c r="C104" t="inlineStr">
        <is>
          <t>P2-C9</t>
        </is>
      </c>
      <c r="D104" t="inlineStr">
        <is>
          <t>Em que medida Gestão de Mudanças e GitOps (GitOps controllers in prod) foi adotado entre as equipes?</t>
        </is>
      </c>
      <c r="F104" t="n">
        <v>1</v>
      </c>
      <c r="G104">
        <f>IF(E104="",0,1)</f>
        <v/>
      </c>
      <c r="H104">
        <f>IF(G104=1,E104*F104,0)</f>
        <v/>
      </c>
      <c r="I104">
        <f>IF(E104="","—",IF(E104&lt;0.5,"L0 — Inicial",IF(E104&lt;1.5,"L1 — Em Desenvolvimento",IF(E104&lt;2.5,"L2 — Definido",IF(E104&lt;3.5,"L3 — Gerenciado","L4 — Otimizando")))))</f>
        <v/>
      </c>
      <c r="J104" t="inlineStr"/>
    </row>
    <row r="105">
      <c r="A105" t="inlineStr">
        <is>
          <t>P2-C9-Q2</t>
        </is>
      </c>
      <c r="B105" t="inlineStr">
        <is>
          <t>P2</t>
        </is>
      </c>
      <c r="C105" t="inlineStr">
        <is>
          <t>P2-C9</t>
        </is>
      </c>
      <c r="D105" t="inlineStr">
        <is>
          <t>Em que medida Gestão de Mudanças e GitOps (automated change tickets) foi adotado entre as equipes?</t>
        </is>
      </c>
      <c r="F105" t="n">
        <v>1</v>
      </c>
      <c r="G105">
        <f>IF(E105="",0,1)</f>
        <v/>
      </c>
      <c r="H105">
        <f>IF(G105=1,E105*F105,0)</f>
        <v/>
      </c>
      <c r="I105">
        <f>IF(E105="","—",IF(E105&lt;0.5,"L0 — Inicial",IF(E105&lt;1.5,"L1 — Em Desenvolvimento",IF(E105&lt;2.5,"L2 — Definido",IF(E105&lt;3.5,"L3 — Gerenciado","L4 — Otimizando")))))</f>
        <v/>
      </c>
      <c r="J105" t="inlineStr"/>
    </row>
    <row r="106">
      <c r="A106" t="inlineStr">
        <is>
          <t>P2-C9-Q3</t>
        </is>
      </c>
      <c r="B106" t="inlineStr">
        <is>
          <t>P2</t>
        </is>
      </c>
      <c r="C106" t="inlineStr">
        <is>
          <t>P2-C9</t>
        </is>
      </c>
      <c r="D106" t="inlineStr">
        <is>
          <t>Em que medida Gestão de Mudanças e GitOps (approvals in PR (not tickets)) foi adotado entre as equipes?</t>
        </is>
      </c>
      <c r="F106" t="n">
        <v>1</v>
      </c>
      <c r="G106">
        <f>IF(E106="",0,1)</f>
        <v/>
      </c>
      <c r="H106">
        <f>IF(G106=1,E106*F106,0)</f>
        <v/>
      </c>
      <c r="I106">
        <f>IF(E106="","—",IF(E106&lt;0.5,"L0 — Inicial",IF(E106&lt;1.5,"L1 — Em Desenvolvimento",IF(E106&lt;2.5,"L2 — Definido",IF(E106&lt;3.5,"L3 — Gerenciado","L4 — Otimizando")))))</f>
        <v/>
      </c>
      <c r="J106" t="inlineStr"/>
    </row>
    <row r="107">
      <c r="A107" t="inlineStr">
        <is>
          <t>P2-C9-Q4</t>
        </is>
      </c>
      <c r="B107" t="inlineStr">
        <is>
          <t>P2</t>
        </is>
      </c>
      <c r="C107" t="inlineStr">
        <is>
          <t>P2-C9</t>
        </is>
      </c>
      <c r="D107" t="inlineStr">
        <is>
          <t>Em que medida Gestão de Mudanças e GitOps (environment promotion via PR) foi adotado entre as equipes?</t>
        </is>
      </c>
      <c r="F107" t="n">
        <v>1</v>
      </c>
      <c r="G107">
        <f>IF(E107="",0,1)</f>
        <v/>
      </c>
      <c r="H107">
        <f>IF(G107=1,E107*F107,0)</f>
        <v/>
      </c>
      <c r="I107">
        <f>IF(E107="","—",IF(E107&lt;0.5,"L0 — Inicial",IF(E107&lt;1.5,"L1 — Em Desenvolvimento",IF(E107&lt;2.5,"L2 — Definido",IF(E107&lt;3.5,"L3 — Gerenciado","L4 — Otimizando")))))</f>
        <v/>
      </c>
      <c r="J107" t="inlineStr"/>
    </row>
    <row r="108">
      <c r="A108" t="inlineStr">
        <is>
          <t>P2-C9-Q5</t>
        </is>
      </c>
      <c r="B108" t="inlineStr">
        <is>
          <t>P2</t>
        </is>
      </c>
      <c r="C108" t="inlineStr">
        <is>
          <t>P2-C9</t>
        </is>
      </c>
      <c r="D108" t="inlineStr">
        <is>
          <t>Em que medida Gestão de Mudanças e GitOps (compliance evidence auto-collected) foi adotado entre as equipes?</t>
        </is>
      </c>
      <c r="F108" t="n">
        <v>1</v>
      </c>
      <c r="G108">
        <f>IF(E108="",0,1)</f>
        <v/>
      </c>
      <c r="H108">
        <f>IF(G108=1,E108*F108,0)</f>
        <v/>
      </c>
      <c r="I108">
        <f>IF(E108="","—",IF(E108&lt;0.5,"L0 — Inicial",IF(E108&lt;1.5,"L1 — Em Desenvolvimento",IF(E108&lt;2.5,"L2 — Definido",IF(E108&lt;3.5,"L3 — Gerenciado","L4 — Otimizando")))))</f>
        <v/>
      </c>
      <c r="J108" t="inlineStr"/>
    </row>
    <row r="109">
      <c r="A109" t="inlineStr">
        <is>
          <t>P2-C10-Q1</t>
        </is>
      </c>
      <c r="B109" t="inlineStr">
        <is>
          <t>P2</t>
        </is>
      </c>
      <c r="C109" t="inlineStr">
        <is>
          <t>P2-C10</t>
        </is>
      </c>
      <c r="D109" t="inlineStr">
        <is>
          <t>Em que medida Segurança de Dependências e Cadeia de Suprimentos (dependabot or renovate on every repo) foi adotado entre as equipes?</t>
        </is>
      </c>
      <c r="E109" t="n">
        <v>1</v>
      </c>
      <c r="F109" t="n">
        <v>1</v>
      </c>
      <c r="G109">
        <f>IF(E109="",0,1)</f>
        <v/>
      </c>
      <c r="H109">
        <f>IF(G109=1,E109*F109,0)</f>
        <v/>
      </c>
      <c r="I109">
        <f>IF(E109="","—",IF(E109&lt;0.5,"L0 — Inicial",IF(E109&lt;1.5,"L1 — Em Desenvolvimento",IF(E109&lt;2.5,"L2 — Definido",IF(E109&lt;3.5,"L3 — Gerenciado","L4 — Otimizando")))))</f>
        <v/>
      </c>
      <c r="J109" t="inlineStr">
        <is>
          <t>Adoção esporádica por iniciativa de tech leads, sem KPIs definidos.</t>
        </is>
      </c>
    </row>
    <row r="110">
      <c r="A110" t="inlineStr">
        <is>
          <t>P2-C10-Q2</t>
        </is>
      </c>
      <c r="B110" t="inlineStr">
        <is>
          <t>P2</t>
        </is>
      </c>
      <c r="C110" t="inlineStr">
        <is>
          <t>P2-C10</t>
        </is>
      </c>
      <c r="D110" t="inlineStr">
        <is>
          <t>Em que medida Segurança de Dependências e Cadeia de Suprimentos (allow-list registries only) foi adotado entre as equipes?</t>
        </is>
      </c>
      <c r="E110" t="n">
        <v>1</v>
      </c>
      <c r="F110" t="n">
        <v>1</v>
      </c>
      <c r="G110">
        <f>IF(E110="",0,1)</f>
        <v/>
      </c>
      <c r="H110">
        <f>IF(G110=1,E110*F110,0)</f>
        <v/>
      </c>
      <c r="I110">
        <f>IF(E110="","—",IF(E110&lt;0.5,"L0 — Inicial",IF(E110&lt;1.5,"L1 — Em Desenvolvimento",IF(E110&lt;2.5,"L2 — Definido",IF(E110&lt;3.5,"L3 — Gerenciado","L4 — Otimizando")))))</f>
        <v/>
      </c>
      <c r="J110" t="inlineStr">
        <is>
          <t>Programa em fase exploratória; menos de 15% de cobertura medida.</t>
        </is>
      </c>
    </row>
    <row r="111">
      <c r="A111" t="inlineStr">
        <is>
          <t>P2-C10-Q3</t>
        </is>
      </c>
      <c r="B111" t="inlineStr">
        <is>
          <t>P2</t>
        </is>
      </c>
      <c r="C111" t="inlineStr">
        <is>
          <t>P2-C10</t>
        </is>
      </c>
      <c r="D111" t="inlineStr">
        <is>
          <t>Em que medida Segurança de Dependências e Cadeia de Suprimentos (build provenance (SLSA level)) foi adotado entre as equipes?</t>
        </is>
      </c>
      <c r="E111" t="n">
        <v>0</v>
      </c>
      <c r="F111" t="n">
        <v>1</v>
      </c>
      <c r="G111">
        <f>IF(E111="",0,1)</f>
        <v/>
      </c>
      <c r="H111">
        <f>IF(G111=1,E111*F111,0)</f>
        <v/>
      </c>
      <c r="I111">
        <f>IF(E111="","—",IF(E111&lt;0.5,"L0 — Inicial",IF(E111&lt;1.5,"L1 — Em Desenvolvimento",IF(E111&lt;2.5,"L2 — Definido",IF(E111&lt;3.5,"L3 — Gerenciado","L4 — Otimizando")))))</f>
        <v/>
      </c>
      <c r="J111" t="inlineStr">
        <is>
          <t>Sem prática estabelecida — nenhuma ferramenta ou política implementada.</t>
        </is>
      </c>
    </row>
    <row r="112">
      <c r="A112" t="inlineStr">
        <is>
          <t>P2-C10-Q4</t>
        </is>
      </c>
      <c r="B112" t="inlineStr">
        <is>
          <t>P2</t>
        </is>
      </c>
      <c r="C112" t="inlineStr">
        <is>
          <t>P2-C10</t>
        </is>
      </c>
      <c r="D112" t="inlineStr">
        <is>
          <t>Em que medida Segurança de Dependências e Cadeia de Suprimentos (critical dep response playbook) foi adotado entre as equipes?</t>
        </is>
      </c>
      <c r="F112" t="n">
        <v>1</v>
      </c>
      <c r="G112">
        <f>IF(E112="",0,1)</f>
        <v/>
      </c>
      <c r="H112">
        <f>IF(G112=1,E112*F112,0)</f>
        <v/>
      </c>
      <c r="I112">
        <f>IF(E112="","—",IF(E112&lt;0.5,"L0 — Inicial",IF(E112&lt;1.5,"L1 — Em Desenvolvimento",IF(E112&lt;2.5,"L2 — Definido",IF(E112&lt;3.5,"L3 — Gerenciado","L4 — Otimizando")))))</f>
        <v/>
      </c>
      <c r="J112" t="inlineStr"/>
    </row>
    <row r="113">
      <c r="A113" t="inlineStr">
        <is>
          <t>P2-C10-Q5</t>
        </is>
      </c>
      <c r="B113" t="inlineStr">
        <is>
          <t>P2</t>
        </is>
      </c>
      <c r="C113" t="inlineStr">
        <is>
          <t>P2-C10</t>
        </is>
      </c>
      <c r="D113" t="inlineStr">
        <is>
          <t>Em que medida Segurança de Dependências e Cadeia de Suprimentos (vendor/OSS risk reviews) foi adotado entre as equipes?</t>
        </is>
      </c>
      <c r="F113" t="n">
        <v>1</v>
      </c>
      <c r="G113">
        <f>IF(E113="",0,1)</f>
        <v/>
      </c>
      <c r="H113">
        <f>IF(G113=1,E113*F113,0)</f>
        <v/>
      </c>
      <c r="I113">
        <f>IF(E113="","—",IF(E113&lt;0.5,"L0 — Inicial",IF(E113&lt;1.5,"L1 — Em Desenvolvimento",IF(E113&lt;2.5,"L2 — Definido",IF(E113&lt;3.5,"L3 — Gerenciado","L4 — Otimizando")))))</f>
        <v/>
      </c>
      <c r="J113" t="inlineStr"/>
    </row>
    <row r="114">
      <c r="A114" t="inlineStr">
        <is>
          <t>P3-C1-Q1</t>
        </is>
      </c>
      <c r="B114" t="inlineStr">
        <is>
          <t>P3</t>
        </is>
      </c>
      <c r="C114" t="inlineStr">
        <is>
          <t>P3-C1</t>
        </is>
      </c>
      <c r="D114" t="inlineStr">
        <is>
          <t>Qual é a maturidade da adoção de arquitetura cloud-native?</t>
        </is>
      </c>
      <c r="E114" t="n">
        <v>3</v>
      </c>
      <c r="F114" t="n">
        <v>1</v>
      </c>
      <c r="G114">
        <f>IF(E114="",0,1)</f>
        <v/>
      </c>
      <c r="H114">
        <f>IF(G114=1,E114*F114,0)</f>
        <v/>
      </c>
      <c r="I114">
        <f>IF(E114="","—",IF(E114&lt;0.5,"L0 — Inicial",IF(E114&lt;1.5,"L1 — Em Desenvolvimento",IF(E114&lt;2.5,"L2 — Definido",IF(E114&lt;3.5,"L3 — Gerenciado","L4 — Otimizando")))))</f>
        <v/>
      </c>
      <c r="J114" t="inlineStr">
        <is>
          <t>Cobertura de 80%+ com métricas mostrando ganhos consistentes (~20% velocidade).</t>
        </is>
      </c>
    </row>
    <row r="115">
      <c r="A115" t="inlineStr">
        <is>
          <t>P3-C1-Q2</t>
        </is>
      </c>
      <c r="B115" t="inlineStr">
        <is>
          <t>P3</t>
        </is>
      </c>
      <c r="C115" t="inlineStr">
        <is>
          <t>P3-C1</t>
        </is>
      </c>
      <c r="D115" t="inlineStr">
        <is>
          <t>Em que medida Arquitetura Nativa da Nuvem (container adoption) foi adotado entre as equipes?</t>
        </is>
      </c>
      <c r="E115" t="n">
        <v>3</v>
      </c>
      <c r="F115" t="n">
        <v>1</v>
      </c>
      <c r="G115">
        <f>IF(E115="",0,1)</f>
        <v/>
      </c>
      <c r="H115">
        <f>IF(G115=1,E115*F115,0)</f>
        <v/>
      </c>
      <c r="I115">
        <f>IF(E115="","—",IF(E115&lt;0.5,"L0 — Inicial",IF(E115&lt;1.5,"L1 — Em Desenvolvimento",IF(E115&lt;2.5,"L2 — Definido",IF(E115&lt;3.5,"L3 — Gerenciado","L4 — Otimizando")))))</f>
        <v/>
      </c>
      <c r="J115" t="inlineStr">
        <is>
          <t>Cobertura de 80%+ com métricas mostrando ganhos consistentes (~20% velocidade).</t>
        </is>
      </c>
    </row>
    <row r="116">
      <c r="A116" t="inlineStr">
        <is>
          <t>P3-C1-Q3</t>
        </is>
      </c>
      <c r="B116" t="inlineStr">
        <is>
          <t>P3</t>
        </is>
      </c>
      <c r="C116" t="inlineStr">
        <is>
          <t>P3-C1</t>
        </is>
      </c>
      <c r="D116" t="inlineStr">
        <is>
          <t>Em que medida Arquitetura Nativa da Nuvem (service mesh / zero trust networking) foi adotado entre as equipes?</t>
        </is>
      </c>
      <c r="E116" t="n">
        <v>2</v>
      </c>
      <c r="F116" t="n">
        <v>1</v>
      </c>
      <c r="G116">
        <f>IF(E116="",0,1)</f>
        <v/>
      </c>
      <c r="H116">
        <f>IF(G116=1,E116*F116,0)</f>
        <v/>
      </c>
      <c r="I116">
        <f>IF(E116="","—",IF(E116&lt;0.5,"L0 — Inicial",IF(E116&lt;1.5,"L1 — Em Desenvolvimento",IF(E116&lt;2.5,"L2 — Definido",IF(E116&lt;3.5,"L3 — Gerenciado","L4 — Otimizando")))))</f>
        <v/>
      </c>
      <c r="J116" t="inlineStr">
        <is>
          <t>Aproximadamente 45% de adoção, com workshops mensais e métricas iniciais.</t>
        </is>
      </c>
    </row>
    <row r="117">
      <c r="A117" t="inlineStr">
        <is>
          <t>P3-C1-Q4</t>
        </is>
      </c>
      <c r="B117" t="inlineStr">
        <is>
          <t>P3</t>
        </is>
      </c>
      <c r="C117" t="inlineStr">
        <is>
          <t>P3-C1</t>
        </is>
      </c>
      <c r="D117" t="inlineStr">
        <is>
          <t>Em que medida Arquitetura Nativa da Nuvem (event-driven architecture) foi adotado entre as equipes?</t>
        </is>
      </c>
      <c r="E117" t="n">
        <v>2</v>
      </c>
      <c r="F117" t="n">
        <v>1</v>
      </c>
      <c r="G117">
        <f>IF(E117="",0,1)</f>
        <v/>
      </c>
      <c r="H117">
        <f>IF(G117=1,E117*F117,0)</f>
        <v/>
      </c>
      <c r="I117">
        <f>IF(E117="","—",IF(E117&lt;0.5,"L0 — Inicial",IF(E117&lt;1.5,"L1 — Em Desenvolvimento",IF(E117&lt;2.5,"L2 — Definido",IF(E117&lt;3.5,"L3 — Gerenciado","L4 — Otimizando")))))</f>
        <v/>
      </c>
      <c r="J117" t="inlineStr">
        <is>
          <t>Cobertura de ~40% das equipes com diretrizes escritas e treinamento básico.</t>
        </is>
      </c>
    </row>
    <row r="118">
      <c r="A118" t="inlineStr">
        <is>
          <t>P3-C1-Q5</t>
        </is>
      </c>
      <c r="B118" t="inlineStr">
        <is>
          <t>P3</t>
        </is>
      </c>
      <c r="C118" t="inlineStr">
        <is>
          <t>P3-C1</t>
        </is>
      </c>
      <c r="D118" t="inlineStr">
        <is>
          <t>Em que medida Arquitetura Nativa da Nuvem (managed services preference) foi adotado entre as equipes?</t>
        </is>
      </c>
      <c r="E118" t="n">
        <v>3</v>
      </c>
      <c r="F118" t="n">
        <v>1</v>
      </c>
      <c r="G118">
        <f>IF(E118="",0,1)</f>
        <v/>
      </c>
      <c r="H118">
        <f>IF(G118=1,E118*F118,0)</f>
        <v/>
      </c>
      <c r="I118">
        <f>IF(E118="","—",IF(E118&lt;0.5,"L0 — Inicial",IF(E118&lt;1.5,"L1 — Em Desenvolvimento",IF(E118&lt;2.5,"L2 — Definido",IF(E118&lt;3.5,"L3 — Gerenciado","L4 — Otimizando")))))</f>
        <v/>
      </c>
      <c r="J118" t="inlineStr">
        <is>
          <t>Adoção em mais de 75% dos squads; biblioteca de templates compartilhada e métricas DORA monitoradas.</t>
        </is>
      </c>
    </row>
    <row r="119">
      <c r="A119" t="inlineStr">
        <is>
          <t>P3-C2-Q1</t>
        </is>
      </c>
      <c r="B119" t="inlineStr">
        <is>
          <t>P3</t>
        </is>
      </c>
      <c r="C119" t="inlineStr">
        <is>
          <t>P3-C2</t>
        </is>
      </c>
      <c r="D119" t="inlineStr">
        <is>
          <t>Quão madura é sua estratégia de gestão de APIs?</t>
        </is>
      </c>
      <c r="F119" t="n">
        <v>1</v>
      </c>
      <c r="G119">
        <f>IF(E119="",0,1)</f>
        <v/>
      </c>
      <c r="H119">
        <f>IF(G119=1,E119*F119,0)</f>
        <v/>
      </c>
      <c r="I119">
        <f>IF(E119="","—",IF(E119&lt;0.5,"L0 — Inicial",IF(E119&lt;1.5,"L1 — Em Desenvolvimento",IF(E119&lt;2.5,"L2 — Definido",IF(E119&lt;3.5,"L3 — Gerenciado","L4 — Otimizando")))))</f>
        <v/>
      </c>
      <c r="J119" t="inlineStr"/>
    </row>
    <row r="120">
      <c r="A120" t="inlineStr">
        <is>
          <t>P3-C2-Q2</t>
        </is>
      </c>
      <c r="B120" t="inlineStr">
        <is>
          <t>P3</t>
        </is>
      </c>
      <c r="C120" t="inlineStr">
        <is>
          <t>P3-C2</t>
        </is>
      </c>
      <c r="D120" t="inlineStr">
        <is>
          <t>Em que medida Gestão de APIs (API gateway for all external APIs) foi adotado entre as equipes?</t>
        </is>
      </c>
      <c r="F120" t="n">
        <v>1</v>
      </c>
      <c r="G120">
        <f>IF(E120="",0,1)</f>
        <v/>
      </c>
      <c r="H120">
        <f>IF(G120=1,E120*F120,0)</f>
        <v/>
      </c>
      <c r="I120">
        <f>IF(E120="","—",IF(E120&lt;0.5,"L0 — Inicial",IF(E120&lt;1.5,"L1 — Em Desenvolvimento",IF(E120&lt;2.5,"L2 — Definido",IF(E120&lt;3.5,"L3 — Gerenciado","L4 — Otimizando")))))</f>
        <v/>
      </c>
      <c r="J120" t="inlineStr"/>
    </row>
    <row r="121">
      <c r="A121" t="inlineStr">
        <is>
          <t>P3-C2-Q3</t>
        </is>
      </c>
      <c r="B121" t="inlineStr">
        <is>
          <t>P3</t>
        </is>
      </c>
      <c r="C121" t="inlineStr">
        <is>
          <t>P3-C2</t>
        </is>
      </c>
      <c r="D121" t="inlineStr">
        <is>
          <t>Em que medida Gestão de APIs (OpenAPI contracts) foi adotado entre as equipes?</t>
        </is>
      </c>
      <c r="F121" t="n">
        <v>1</v>
      </c>
      <c r="G121">
        <f>IF(E121="",0,1)</f>
        <v/>
      </c>
      <c r="H121">
        <f>IF(G121=1,E121*F121,0)</f>
        <v/>
      </c>
      <c r="I121">
        <f>IF(E121="","—",IF(E121&lt;0.5,"L0 — Inicial",IF(E121&lt;1.5,"L1 — Em Desenvolvimento",IF(E121&lt;2.5,"L2 — Definido",IF(E121&lt;3.5,"L3 — Gerenciado","L4 — Otimizando")))))</f>
        <v/>
      </c>
      <c r="J121" t="inlineStr"/>
    </row>
    <row r="122">
      <c r="A122" t="inlineStr">
        <is>
          <t>P3-C2-Q4</t>
        </is>
      </c>
      <c r="B122" t="inlineStr">
        <is>
          <t>P3</t>
        </is>
      </c>
      <c r="C122" t="inlineStr">
        <is>
          <t>P3-C2</t>
        </is>
      </c>
      <c r="D122" t="inlineStr">
        <is>
          <t>Em que medida Gestão de APIs (versioning &amp; deprecation policy) foi adotado entre as equipes?</t>
        </is>
      </c>
      <c r="F122" t="n">
        <v>1</v>
      </c>
      <c r="G122">
        <f>IF(E122="",0,1)</f>
        <v/>
      </c>
      <c r="H122">
        <f>IF(G122=1,E122*F122,0)</f>
        <v/>
      </c>
      <c r="I122">
        <f>IF(E122="","—",IF(E122&lt;0.5,"L0 — Inicial",IF(E122&lt;1.5,"L1 — Em Desenvolvimento",IF(E122&lt;2.5,"L2 — Definido",IF(E122&lt;3.5,"L3 — Gerenciado","L4 — Otimizando")))))</f>
        <v/>
      </c>
      <c r="J122" t="inlineStr"/>
    </row>
    <row r="123">
      <c r="A123" t="inlineStr">
        <is>
          <t>P3-C2-Q5</t>
        </is>
      </c>
      <c r="B123" t="inlineStr">
        <is>
          <t>P3</t>
        </is>
      </c>
      <c r="C123" t="inlineStr">
        <is>
          <t>P3-C2</t>
        </is>
      </c>
      <c r="D123" t="inlineStr">
        <is>
          <t>Em que medida Gestão de APIs (developer portal with self-serve keys) foi adotado entre as equipes?</t>
        </is>
      </c>
      <c r="F123" t="n">
        <v>1</v>
      </c>
      <c r="G123">
        <f>IF(E123="",0,1)</f>
        <v/>
      </c>
      <c r="H123">
        <f>IF(G123=1,E123*F123,0)</f>
        <v/>
      </c>
      <c r="I123">
        <f>IF(E123="","—",IF(E123&lt;0.5,"L0 — Inicial",IF(E123&lt;1.5,"L1 — Em Desenvolvimento",IF(E123&lt;2.5,"L2 — Definido",IF(E123&lt;3.5,"L3 — Gerenciado","L4 — Otimizando")))))</f>
        <v/>
      </c>
      <c r="J123" t="inlineStr"/>
    </row>
    <row r="124">
      <c r="A124" t="inlineStr">
        <is>
          <t>P3-C3-Q1</t>
        </is>
      </c>
      <c r="B124" t="inlineStr">
        <is>
          <t>P3</t>
        </is>
      </c>
      <c r="C124" t="inlineStr">
        <is>
          <t>P3-C3</t>
        </is>
      </c>
      <c r="D124" t="inlineStr">
        <is>
          <t>Quão madura é a capacidade da sua organização de construir e implantar aplicações com IA?</t>
        </is>
      </c>
      <c r="E124" t="n">
        <v>2</v>
      </c>
      <c r="F124" t="n">
        <v>1</v>
      </c>
      <c r="G124">
        <f>IF(E124="",0,1)</f>
        <v/>
      </c>
      <c r="H124">
        <f>IF(G124=1,E124*F124,0)</f>
        <v/>
      </c>
      <c r="I124">
        <f>IF(E124="","—",IF(E124&lt;0.5,"L0 — Inicial",IF(E124&lt;1.5,"L1 — Em Desenvolvimento",IF(E124&lt;2.5,"L2 — Definido",IF(E124&lt;3.5,"L3 — Gerenciado","L4 — Otimizando")))))</f>
        <v/>
      </c>
      <c r="J124" t="inlineStr">
        <is>
          <t>Aproximadamente 45% de adoção, com workshops mensais e métricas iniciais.</t>
        </is>
      </c>
    </row>
    <row r="125">
      <c r="A125" t="inlineStr">
        <is>
          <t>P3-C3-Q2</t>
        </is>
      </c>
      <c r="B125" t="inlineStr">
        <is>
          <t>P3</t>
        </is>
      </c>
      <c r="C125" t="inlineStr">
        <is>
          <t>P3-C3</t>
        </is>
      </c>
      <c r="D125" t="inlineStr">
        <is>
          <t>Em que medida Desenvolvimento de Aplicações de IA (LLM application frameworks) foi adotado entre as equipes?</t>
        </is>
      </c>
      <c r="E125" t="n">
        <v>2</v>
      </c>
      <c r="F125" t="n">
        <v>1</v>
      </c>
      <c r="G125">
        <f>IF(E125="",0,1)</f>
        <v/>
      </c>
      <c r="H125">
        <f>IF(G125=1,E125*F125,0)</f>
        <v/>
      </c>
      <c r="I125">
        <f>IF(E125="","—",IF(E125&lt;0.5,"L0 — Inicial",IF(E125&lt;1.5,"L1 — Em Desenvolvimento",IF(E125&lt;2.5,"L2 — Definido",IF(E125&lt;3.5,"L3 — Gerenciado","L4 — Otimizando")))))</f>
        <v/>
      </c>
      <c r="J125" t="inlineStr">
        <is>
          <t>Implantação em 35% dos serviços; documentação publicada no Confluence interno.</t>
        </is>
      </c>
    </row>
    <row r="126">
      <c r="A126" t="inlineStr">
        <is>
          <t>P3-C3-Q3</t>
        </is>
      </c>
      <c r="B126" t="inlineStr">
        <is>
          <t>P3</t>
        </is>
      </c>
      <c r="C126" t="inlineStr">
        <is>
          <t>P3-C3</t>
        </is>
      </c>
      <c r="D126" t="inlineStr">
        <is>
          <t>Em que medida Desenvolvimento de Aplicações de IA (evaluation harness for AI) foi adotado entre as equipes?</t>
        </is>
      </c>
      <c r="E126" t="n">
        <v>3</v>
      </c>
      <c r="F126" t="n">
        <v>1</v>
      </c>
      <c r="G126">
        <f>IF(E126="",0,1)</f>
        <v/>
      </c>
      <c r="H126">
        <f>IF(G126=1,E126*F126,0)</f>
        <v/>
      </c>
      <c r="I126">
        <f>IF(E126="","—",IF(E126&lt;0.5,"L0 — Inicial",IF(E126&lt;1.5,"L1 — Em Desenvolvimento",IF(E126&lt;2.5,"L2 — Definido",IF(E126&lt;3.5,"L3 — Gerenciado","L4 — Otimizando")))))</f>
        <v/>
      </c>
      <c r="J126" t="inlineStr">
        <is>
          <t>Adoção em mais de 75% dos squads; biblioteca de templates compartilhada e métricas DORA monitoradas.</t>
        </is>
      </c>
    </row>
    <row r="127">
      <c r="A127" t="inlineStr">
        <is>
          <t>P3-C3-Q4</t>
        </is>
      </c>
      <c r="B127" t="inlineStr">
        <is>
          <t>P3</t>
        </is>
      </c>
      <c r="C127" t="inlineStr">
        <is>
          <t>P3-C3</t>
        </is>
      </c>
      <c r="D127" t="inlineStr">
        <is>
          <t>Em que medida Desenvolvimento de Aplicações de IA (vector database / RAG platform) foi adotado entre as equipes?</t>
        </is>
      </c>
      <c r="E127" t="n">
        <v>2</v>
      </c>
      <c r="F127" t="n">
        <v>1</v>
      </c>
      <c r="G127">
        <f>IF(E127="",0,1)</f>
        <v/>
      </c>
      <c r="H127">
        <f>IF(G127=1,E127*F127,0)</f>
        <v/>
      </c>
      <c r="I127">
        <f>IF(E127="","—",IF(E127&lt;0.5,"L0 — Inicial",IF(E127&lt;1.5,"L1 — Em Desenvolvimento",IF(E127&lt;2.5,"L2 — Definido",IF(E127&lt;3.5,"L3 — Gerenciado","L4 — Otimizando")))))</f>
        <v/>
      </c>
      <c r="J127" t="inlineStr">
        <is>
          <t>Aproximadamente 45% de adoção, com workshops mensais e métricas iniciais.</t>
        </is>
      </c>
    </row>
    <row r="128">
      <c r="A128" t="inlineStr">
        <is>
          <t>P3-C3-Q5</t>
        </is>
      </c>
      <c r="B128" t="inlineStr">
        <is>
          <t>P3</t>
        </is>
      </c>
      <c r="C128" t="inlineStr">
        <is>
          <t>P3-C3</t>
        </is>
      </c>
      <c r="D128" t="inlineStr">
        <is>
          <t>Em que medida Desenvolvimento de Aplicações de IA (responsible AI / safety filters) foi adotado entre as equipes?</t>
        </is>
      </c>
      <c r="F128" t="n">
        <v>1</v>
      </c>
      <c r="G128">
        <f>IF(E128="",0,1)</f>
        <v/>
      </c>
      <c r="H128">
        <f>IF(G128=1,E128*F128,0)</f>
        <v/>
      </c>
      <c r="I128">
        <f>IF(E128="","—",IF(E128&lt;0.5,"L0 — Inicial",IF(E128&lt;1.5,"L1 — Em Desenvolvimento",IF(E128&lt;2.5,"L2 — Definido",IF(E128&lt;3.5,"L3 — Gerenciado","L4 — Otimizando")))))</f>
        <v/>
      </c>
      <c r="J128" t="inlineStr"/>
    </row>
    <row r="129">
      <c r="A129" t="inlineStr">
        <is>
          <t>P3-C4-Q1</t>
        </is>
      </c>
      <c r="B129" t="inlineStr">
        <is>
          <t>P3</t>
        </is>
      </c>
      <c r="C129" t="inlineStr">
        <is>
          <t>P3-C4</t>
        </is>
      </c>
      <c r="D129" t="inlineStr">
        <is>
          <t>Em que medida Plataforma de Dados e Lakehouse (lakehouse or data platform in use) foi adotado entre as equipes?</t>
        </is>
      </c>
      <c r="F129" t="n">
        <v>1</v>
      </c>
      <c r="G129">
        <f>IF(E129="",0,1)</f>
        <v/>
      </c>
      <c r="H129">
        <f>IF(G129=1,E129*F129,0)</f>
        <v/>
      </c>
      <c r="I129">
        <f>IF(E129="","—",IF(E129&lt;0.5,"L0 — Inicial",IF(E129&lt;1.5,"L1 — Em Desenvolvimento",IF(E129&lt;2.5,"L2 — Definido",IF(E129&lt;3.5,"L3 — Gerenciado","L4 — Otimizando")))))</f>
        <v/>
      </c>
      <c r="J129" t="inlineStr"/>
    </row>
    <row r="130">
      <c r="A130" t="inlineStr">
        <is>
          <t>P3-C4-Q2</t>
        </is>
      </c>
      <c r="B130" t="inlineStr">
        <is>
          <t>P3</t>
        </is>
      </c>
      <c r="C130" t="inlineStr">
        <is>
          <t>P3-C4</t>
        </is>
      </c>
      <c r="D130" t="inlineStr">
        <is>
          <t>Em que medida Plataforma de Dados e Lakehouse (data contracts between producers &amp; consumers) foi adotado entre as equipes?</t>
        </is>
      </c>
      <c r="F130" t="n">
        <v>1</v>
      </c>
      <c r="G130">
        <f>IF(E130="",0,1)</f>
        <v/>
      </c>
      <c r="H130">
        <f>IF(G130=1,E130*F130,0)</f>
        <v/>
      </c>
      <c r="I130">
        <f>IF(E130="","—",IF(E130&lt;0.5,"L0 — Inicial",IF(E130&lt;1.5,"L1 — Em Desenvolvimento",IF(E130&lt;2.5,"L2 — Definido",IF(E130&lt;3.5,"L3 — Gerenciado","L4 — Otimizando")))))</f>
        <v/>
      </c>
      <c r="J130" t="inlineStr"/>
    </row>
    <row r="131">
      <c r="A131" t="inlineStr">
        <is>
          <t>P3-C4-Q3</t>
        </is>
      </c>
      <c r="B131" t="inlineStr">
        <is>
          <t>P3</t>
        </is>
      </c>
      <c r="C131" t="inlineStr">
        <is>
          <t>P3-C4</t>
        </is>
      </c>
      <c r="D131" t="inlineStr">
        <is>
          <t>Em que medida Plataforma de Dados e Lakehouse (catalog and lineage tracking) foi adotado entre as equipes?</t>
        </is>
      </c>
      <c r="F131" t="n">
        <v>1</v>
      </c>
      <c r="G131">
        <f>IF(E131="",0,1)</f>
        <v/>
      </c>
      <c r="H131">
        <f>IF(G131=1,E131*F131,0)</f>
        <v/>
      </c>
      <c r="I131">
        <f>IF(E131="","—",IF(E131&lt;0.5,"L0 — Inicial",IF(E131&lt;1.5,"L1 — Em Desenvolvimento",IF(E131&lt;2.5,"L2 — Definido",IF(E131&lt;3.5,"L3 — Gerenciado","L4 — Otimizando")))))</f>
        <v/>
      </c>
      <c r="J131" t="inlineStr"/>
    </row>
    <row r="132">
      <c r="A132" t="inlineStr">
        <is>
          <t>P3-C4-Q4</t>
        </is>
      </c>
      <c r="B132" t="inlineStr">
        <is>
          <t>P3</t>
        </is>
      </c>
      <c r="C132" t="inlineStr">
        <is>
          <t>P3-C4</t>
        </is>
      </c>
      <c r="D132" t="inlineStr">
        <is>
          <t>Em que medida Plataforma de Dados e Lakehouse (self-service analytics) foi adotado entre as equipes?</t>
        </is>
      </c>
      <c r="F132" t="n">
        <v>1</v>
      </c>
      <c r="G132">
        <f>IF(E132="",0,1)</f>
        <v/>
      </c>
      <c r="H132">
        <f>IF(G132=1,E132*F132,0)</f>
        <v/>
      </c>
      <c r="I132">
        <f>IF(E132="","—",IF(E132&lt;0.5,"L0 — Inicial",IF(E132&lt;1.5,"L1 — Em Desenvolvimento",IF(E132&lt;2.5,"L2 — Definido",IF(E132&lt;3.5,"L3 — Gerenciado","L4 — Otimizando")))))</f>
        <v/>
      </c>
      <c r="J132" t="inlineStr"/>
    </row>
    <row r="133">
      <c r="A133" t="inlineStr">
        <is>
          <t>P3-C4-Q5</t>
        </is>
      </c>
      <c r="B133" t="inlineStr">
        <is>
          <t>P3</t>
        </is>
      </c>
      <c r="C133" t="inlineStr">
        <is>
          <t>P3-C4</t>
        </is>
      </c>
      <c r="D133" t="inlineStr">
        <is>
          <t>Em que medida Plataforma de Dados e Lakehouse (real-time streaming ingestion) foi adotado entre as equipes?</t>
        </is>
      </c>
      <c r="F133" t="n">
        <v>1</v>
      </c>
      <c r="G133">
        <f>IF(E133="",0,1)</f>
        <v/>
      </c>
      <c r="H133">
        <f>IF(G133=1,E133*F133,0)</f>
        <v/>
      </c>
      <c r="I133">
        <f>IF(E133="","—",IF(E133&lt;0.5,"L0 — Inicial",IF(E133&lt;1.5,"L1 — Em Desenvolvimento",IF(E133&lt;2.5,"L2 — Definido",IF(E133&lt;3.5,"L3 — Gerenciado","L4 — Otimizando")))))</f>
        <v/>
      </c>
      <c r="J133" t="inlineStr"/>
    </row>
    <row r="134">
      <c r="A134" t="inlineStr">
        <is>
          <t>P3-C5-Q1</t>
        </is>
      </c>
      <c r="B134" t="inlineStr">
        <is>
          <t>P3</t>
        </is>
      </c>
      <c r="C134" t="inlineStr">
        <is>
          <t>P3-C5</t>
        </is>
      </c>
      <c r="D134" t="inlineStr">
        <is>
          <t>Em que medida Aplicações Agênticas (agents with tool-use in prod) foi adotado entre as equipes?</t>
        </is>
      </c>
      <c r="E134" t="n">
        <v>1</v>
      </c>
      <c r="F134" t="n">
        <v>1</v>
      </c>
      <c r="G134">
        <f>IF(E134="",0,1)</f>
        <v/>
      </c>
      <c r="H134">
        <f>IF(G134=1,E134*F134,0)</f>
        <v/>
      </c>
      <c r="I134">
        <f>IF(E134="","—",IF(E134&lt;0.5,"L0 — Inicial",IF(E134&lt;1.5,"L1 — Em Desenvolvimento",IF(E134&lt;2.5,"L2 — Definido",IF(E134&lt;3.5,"L3 — Gerenciado","L4 — Otimizando")))))</f>
        <v/>
      </c>
      <c r="J134" t="inlineStr">
        <is>
          <t>Piloto isolado em 1 squad (~8% dos times); sem governança formal.</t>
        </is>
      </c>
    </row>
    <row r="135">
      <c r="A135" t="inlineStr">
        <is>
          <t>P3-C5-Q2</t>
        </is>
      </c>
      <c r="B135" t="inlineStr">
        <is>
          <t>P3</t>
        </is>
      </c>
      <c r="C135" t="inlineStr">
        <is>
          <t>P3-C5</t>
        </is>
      </c>
      <c r="D135" t="inlineStr">
        <is>
          <t>Em que medida Aplicações Agênticas (orchestration framework (Semantic Kernel, etc)) foi adotado entre as equipes?</t>
        </is>
      </c>
      <c r="E135" t="n">
        <v>1</v>
      </c>
      <c r="F135" t="n">
        <v>1</v>
      </c>
      <c r="G135">
        <f>IF(E135="",0,1)</f>
        <v/>
      </c>
      <c r="H135">
        <f>IF(G135=1,E135*F135,0)</f>
        <v/>
      </c>
      <c r="I135">
        <f>IF(E135="","—",IF(E135&lt;0.5,"L0 — Inicial",IF(E135&lt;1.5,"L1 — Em Desenvolvimento",IF(E135&lt;2.5,"L2 — Definido",IF(E135&lt;3.5,"L3 — Gerenciado","L4 — Otimizando")))))</f>
        <v/>
      </c>
      <c r="J135" t="inlineStr">
        <is>
          <t>Adoção esporádica por iniciativa de tech leads, sem KPIs definidos.</t>
        </is>
      </c>
    </row>
    <row r="136">
      <c r="A136" t="inlineStr">
        <is>
          <t>P3-C5-Q3</t>
        </is>
      </c>
      <c r="B136" t="inlineStr">
        <is>
          <t>P3</t>
        </is>
      </c>
      <c r="C136" t="inlineStr">
        <is>
          <t>P3-C5</t>
        </is>
      </c>
      <c r="D136" t="inlineStr">
        <is>
          <t>Em que medida Aplicações Agênticas (evaluation and safety for agents) foi adotado entre as equipes?</t>
        </is>
      </c>
      <c r="E136" t="n">
        <v>2</v>
      </c>
      <c r="F136" t="n">
        <v>1</v>
      </c>
      <c r="G136">
        <f>IF(E136="",0,1)</f>
        <v/>
      </c>
      <c r="H136">
        <f>IF(G136=1,E136*F136,0)</f>
        <v/>
      </c>
      <c r="I136">
        <f>IF(E136="","—",IF(E136&lt;0.5,"L0 — Inicial",IF(E136&lt;1.5,"L1 — Em Desenvolvimento",IF(E136&lt;2.5,"L2 — Definido",IF(E136&lt;3.5,"L3 — Gerenciado","L4 — Otimizando")))))</f>
        <v/>
      </c>
      <c r="J136" t="inlineStr">
        <is>
          <t>Cobertura de ~40% das equipes com diretrizes escritas e treinamento básico.</t>
        </is>
      </c>
    </row>
    <row r="137">
      <c r="A137" t="inlineStr">
        <is>
          <t>P3-C5-Q4</t>
        </is>
      </c>
      <c r="B137" t="inlineStr">
        <is>
          <t>P3</t>
        </is>
      </c>
      <c r="C137" t="inlineStr">
        <is>
          <t>P3-C5</t>
        </is>
      </c>
      <c r="D137" t="inlineStr">
        <is>
          <t>Em que medida Aplicações Agênticas (tool/action registry) foi adotado entre as equipes?</t>
        </is>
      </c>
      <c r="E137" t="n">
        <v>0</v>
      </c>
      <c r="F137" t="n">
        <v>1</v>
      </c>
      <c r="G137">
        <f>IF(E137="",0,1)</f>
        <v/>
      </c>
      <c r="H137">
        <f>IF(G137=1,E137*F137,0)</f>
        <v/>
      </c>
      <c r="I137">
        <f>IF(E137="","—",IF(E137&lt;0.5,"L0 — Inicial",IF(E137&lt;1.5,"L1 — Em Desenvolvimento",IF(E137&lt;2.5,"L2 — Definido",IF(E137&lt;3.5,"L3 — Gerenciado","L4 — Otimizando")))))</f>
        <v/>
      </c>
      <c r="J137" t="inlineStr">
        <is>
          <t>Tópico não está no radar atual da liderança técnica.</t>
        </is>
      </c>
    </row>
    <row r="138">
      <c r="A138" t="inlineStr">
        <is>
          <t>P3-C5-Q5</t>
        </is>
      </c>
      <c r="B138" t="inlineStr">
        <is>
          <t>P3</t>
        </is>
      </c>
      <c r="C138" t="inlineStr">
        <is>
          <t>P3-C5</t>
        </is>
      </c>
      <c r="D138" t="inlineStr">
        <is>
          <t>Em que medida Aplicações Agênticas (human-in-the-loop controls) foi adotado entre as equipes?</t>
        </is>
      </c>
      <c r="E138" t="n">
        <v>1</v>
      </c>
      <c r="F138" t="n">
        <v>1</v>
      </c>
      <c r="G138">
        <f>IF(E138="",0,1)</f>
        <v/>
      </c>
      <c r="H138">
        <f>IF(G138=1,E138*F138,0)</f>
        <v/>
      </c>
      <c r="I138">
        <f>IF(E138="","—",IF(E138&lt;0.5,"L0 — Inicial",IF(E138&lt;1.5,"L1 — Em Desenvolvimento",IF(E138&lt;2.5,"L2 — Definido",IF(E138&lt;3.5,"L3 — Gerenciado","L4 — Otimizando")))))</f>
        <v/>
      </c>
      <c r="J138" t="inlineStr">
        <is>
          <t>Adoção esporádica por iniciativa de tech leads, sem KPIs definidos.</t>
        </is>
      </c>
    </row>
    <row r="139">
      <c r="A139" t="inlineStr">
        <is>
          <t>P3-C5-Q6</t>
        </is>
      </c>
      <c r="B139" t="inlineStr">
        <is>
          <t>P3</t>
        </is>
      </c>
      <c r="C139" t="inlineStr">
        <is>
          <t>P3-C5</t>
        </is>
      </c>
      <c r="D139" t="inlineStr">
        <is>
          <t>Em que medida Aplicações Agênticas (agent cost and latency telemetry) foi adotado entre as equipes?</t>
        </is>
      </c>
      <c r="E139" t="n">
        <v>0</v>
      </c>
      <c r="F139" t="n">
        <v>1</v>
      </c>
      <c r="G139">
        <f>IF(E139="",0,1)</f>
        <v/>
      </c>
      <c r="H139">
        <f>IF(G139=1,E139*F139,0)</f>
        <v/>
      </c>
      <c r="I139">
        <f>IF(E139="","—",IF(E139&lt;0.5,"L0 — Inicial",IF(E139&lt;1.5,"L1 — Em Desenvolvimento",IF(E139&lt;2.5,"L2 — Definido",IF(E139&lt;3.5,"L3 — Gerenciado","L4 — Otimizando")))))</f>
        <v/>
      </c>
      <c r="J139" t="inlineStr">
        <is>
          <t>Sem prática estabelecida — nenhuma ferramenta ou política implementada.</t>
        </is>
      </c>
    </row>
    <row r="140">
      <c r="A140" t="inlineStr">
        <is>
          <t>P3-C6-Q1</t>
        </is>
      </c>
      <c r="B140" t="inlineStr">
        <is>
          <t>P3</t>
        </is>
      </c>
      <c r="C140" t="inlineStr">
        <is>
          <t>P3-C6</t>
        </is>
      </c>
      <c r="D140" t="inlineStr">
        <is>
          <t>Em que medida Gestão de Identidades e Acessos (SSO for all apps) foi adotado entre as equipes?</t>
        </is>
      </c>
      <c r="F140" t="n">
        <v>1</v>
      </c>
      <c r="G140">
        <f>IF(E140="",0,1)</f>
        <v/>
      </c>
      <c r="H140">
        <f>IF(G140=1,E140*F140,0)</f>
        <v/>
      </c>
      <c r="I140">
        <f>IF(E140="","—",IF(E140&lt;0.5,"L0 — Inicial",IF(E140&lt;1.5,"L1 — Em Desenvolvimento",IF(E140&lt;2.5,"L2 — Definido",IF(E140&lt;3.5,"L3 — Gerenciado","L4 — Otimizando")))))</f>
        <v/>
      </c>
      <c r="J140" t="inlineStr"/>
    </row>
    <row r="141">
      <c r="A141" t="inlineStr">
        <is>
          <t>P3-C6-Q2</t>
        </is>
      </c>
      <c r="B141" t="inlineStr">
        <is>
          <t>P3</t>
        </is>
      </c>
      <c r="C141" t="inlineStr">
        <is>
          <t>P3-C6</t>
        </is>
      </c>
      <c r="D141" t="inlineStr">
        <is>
          <t>Em que medida Gestão de Identidades e Acessos (workload identity (no long-lived secrets)) foi adotado entre as equipes?</t>
        </is>
      </c>
      <c r="F141" t="n">
        <v>1</v>
      </c>
      <c r="G141">
        <f>IF(E141="",0,1)</f>
        <v/>
      </c>
      <c r="H141">
        <f>IF(G141=1,E141*F141,0)</f>
        <v/>
      </c>
      <c r="I141">
        <f>IF(E141="","—",IF(E141&lt;0.5,"L0 — Inicial",IF(E141&lt;1.5,"L1 — Em Desenvolvimento",IF(E141&lt;2.5,"L2 — Definido",IF(E141&lt;3.5,"L3 — Gerenciado","L4 — Otimizando")))))</f>
        <v/>
      </c>
      <c r="J141" t="inlineStr"/>
    </row>
    <row r="142">
      <c r="A142" t="inlineStr">
        <is>
          <t>P3-C6-Q3</t>
        </is>
      </c>
      <c r="B142" t="inlineStr">
        <is>
          <t>P3</t>
        </is>
      </c>
      <c r="C142" t="inlineStr">
        <is>
          <t>P3-C6</t>
        </is>
      </c>
      <c r="D142" t="inlineStr">
        <is>
          <t>Em que medida Gestão de Identidades e Acessos (least-privilege with JIT elevation) foi adotado entre as equipes?</t>
        </is>
      </c>
      <c r="F142" t="n">
        <v>1</v>
      </c>
      <c r="G142">
        <f>IF(E142="",0,1)</f>
        <v/>
      </c>
      <c r="H142">
        <f>IF(G142=1,E142*F142,0)</f>
        <v/>
      </c>
      <c r="I142">
        <f>IF(E142="","—",IF(E142&lt;0.5,"L0 — Inicial",IF(E142&lt;1.5,"L1 — Em Desenvolvimento",IF(E142&lt;2.5,"L2 — Definido",IF(E142&lt;3.5,"L3 — Gerenciado","L4 — Otimizando")))))</f>
        <v/>
      </c>
      <c r="J142" t="inlineStr"/>
    </row>
    <row r="143">
      <c r="A143" t="inlineStr">
        <is>
          <t>P3-C6-Q4</t>
        </is>
      </c>
      <c r="B143" t="inlineStr">
        <is>
          <t>P3</t>
        </is>
      </c>
      <c r="C143" t="inlineStr">
        <is>
          <t>P3-C6</t>
        </is>
      </c>
      <c r="D143" t="inlineStr">
        <is>
          <t>Em que medida Gestão de Identidades e Acessos (conditional access policies) foi adotado entre as equipes?</t>
        </is>
      </c>
      <c r="F143" t="n">
        <v>1</v>
      </c>
      <c r="G143">
        <f>IF(E143="",0,1)</f>
        <v/>
      </c>
      <c r="H143">
        <f>IF(G143=1,E143*F143,0)</f>
        <v/>
      </c>
      <c r="I143">
        <f>IF(E143="","—",IF(E143&lt;0.5,"L0 — Inicial",IF(E143&lt;1.5,"L1 — Em Desenvolvimento",IF(E143&lt;2.5,"L2 — Definido",IF(E143&lt;3.5,"L3 — Gerenciado","L4 — Otimizando")))))</f>
        <v/>
      </c>
      <c r="J143" t="inlineStr"/>
    </row>
    <row r="144">
      <c r="A144" t="inlineStr">
        <is>
          <t>P3-C6-Q5</t>
        </is>
      </c>
      <c r="B144" t="inlineStr">
        <is>
          <t>P3</t>
        </is>
      </c>
      <c r="C144" t="inlineStr">
        <is>
          <t>P3-C6</t>
        </is>
      </c>
      <c r="D144" t="inlineStr">
        <is>
          <t>Em que medida Gestão de Identidades e Acessos (access reviews and audit) foi adotado entre as equipes?</t>
        </is>
      </c>
      <c r="F144" t="n">
        <v>1</v>
      </c>
      <c r="G144">
        <f>IF(E144="",0,1)</f>
        <v/>
      </c>
      <c r="H144">
        <f>IF(G144=1,E144*F144,0)</f>
        <v/>
      </c>
      <c r="I144">
        <f>IF(E144="","—",IF(E144&lt;0.5,"L0 — Inicial",IF(E144&lt;1.5,"L1 — Em Desenvolvimento",IF(E144&lt;2.5,"L2 — Definido",IF(E144&lt;3.5,"L3 — Gerenciado","L4 — Otimizando")))))</f>
        <v/>
      </c>
      <c r="J144" t="inlineStr"/>
    </row>
    <row r="145">
      <c r="A145" t="inlineStr">
        <is>
          <t>P3-C7-Q1</t>
        </is>
      </c>
      <c r="B145" t="inlineStr">
        <is>
          <t>P3</t>
        </is>
      </c>
      <c r="C145" t="inlineStr">
        <is>
          <t>P3-C7</t>
        </is>
      </c>
      <c r="D145" t="inlineStr">
        <is>
          <t>Em que medida Multi-Cloud e Portabilidade (container-based workloads for portability) foi adotado entre as equipes?</t>
        </is>
      </c>
      <c r="F145" t="n">
        <v>1</v>
      </c>
      <c r="G145">
        <f>IF(E145="",0,1)</f>
        <v/>
      </c>
      <c r="H145">
        <f>IF(G145=1,E145*F145,0)</f>
        <v/>
      </c>
      <c r="I145">
        <f>IF(E145="","—",IF(E145&lt;0.5,"L0 — Inicial",IF(E145&lt;1.5,"L1 — Em Desenvolvimento",IF(E145&lt;2.5,"L2 — Definido",IF(E145&lt;3.5,"L3 — Gerenciado","L4 — Otimizando")))))</f>
        <v/>
      </c>
      <c r="J145" t="inlineStr"/>
    </row>
    <row r="146">
      <c r="A146" t="inlineStr">
        <is>
          <t>P3-C7-Q2</t>
        </is>
      </c>
      <c r="B146" t="inlineStr">
        <is>
          <t>P3</t>
        </is>
      </c>
      <c r="C146" t="inlineStr">
        <is>
          <t>P3-C7</t>
        </is>
      </c>
      <c r="D146" t="inlineStr">
        <is>
          <t>Em que medida Multi-Cloud e Portabilidade (abstracted data tier (Postgres, etc)) foi adotado entre as equipes?</t>
        </is>
      </c>
      <c r="F146" t="n">
        <v>1</v>
      </c>
      <c r="G146">
        <f>IF(E146="",0,1)</f>
        <v/>
      </c>
      <c r="H146">
        <f>IF(G146=1,E146*F146,0)</f>
        <v/>
      </c>
      <c r="I146">
        <f>IF(E146="","—",IF(E146&lt;0.5,"L0 — Inicial",IF(E146&lt;1.5,"L1 — Em Desenvolvimento",IF(E146&lt;2.5,"L2 — Definido",IF(E146&lt;3.5,"L3 — Gerenciado","L4 — Otimizando")))))</f>
        <v/>
      </c>
      <c r="J146" t="inlineStr"/>
    </row>
    <row r="147">
      <c r="A147" t="inlineStr">
        <is>
          <t>P3-C7-Q3</t>
        </is>
      </c>
      <c r="B147" t="inlineStr">
        <is>
          <t>P3</t>
        </is>
      </c>
      <c r="C147" t="inlineStr">
        <is>
          <t>P3-C7</t>
        </is>
      </c>
      <c r="D147" t="inlineStr">
        <is>
          <t>Em que medida Multi-Cloud e Portabilidade (multi-region deployment capability) foi adotado entre as equipes?</t>
        </is>
      </c>
      <c r="F147" t="n">
        <v>1</v>
      </c>
      <c r="G147">
        <f>IF(E147="",0,1)</f>
        <v/>
      </c>
      <c r="H147">
        <f>IF(G147=1,E147*F147,0)</f>
        <v/>
      </c>
      <c r="I147">
        <f>IF(E147="","—",IF(E147&lt;0.5,"L0 — Inicial",IF(E147&lt;1.5,"L1 — Em Desenvolvimento",IF(E147&lt;2.5,"L2 — Definido",IF(E147&lt;3.5,"L3 — Gerenciado","L4 — Otimizando")))))</f>
        <v/>
      </c>
      <c r="J147" t="inlineStr"/>
    </row>
    <row r="148">
      <c r="A148" t="inlineStr">
        <is>
          <t>P3-C7-Q4</t>
        </is>
      </c>
      <c r="B148" t="inlineStr">
        <is>
          <t>P3</t>
        </is>
      </c>
      <c r="C148" t="inlineStr">
        <is>
          <t>P3-C7</t>
        </is>
      </c>
      <c r="D148" t="inlineStr">
        <is>
          <t>Em que medida Multi-Cloud e Portabilidade (cloud-agnostic IaC modules) foi adotado entre as equipes?</t>
        </is>
      </c>
      <c r="F148" t="n">
        <v>1</v>
      </c>
      <c r="G148">
        <f>IF(E148="",0,1)</f>
        <v/>
      </c>
      <c r="H148">
        <f>IF(G148=1,E148*F148,0)</f>
        <v/>
      </c>
      <c r="I148">
        <f>IF(E148="","—",IF(E148&lt;0.5,"L0 — Inicial",IF(E148&lt;1.5,"L1 — Em Desenvolvimento",IF(E148&lt;2.5,"L2 — Definido",IF(E148&lt;3.5,"L3 — Gerenciado","L4 — Otimizando")))))</f>
        <v/>
      </c>
      <c r="J148" t="inlineStr"/>
    </row>
    <row r="149">
      <c r="A149" t="inlineStr">
        <is>
          <t>P3-C7-Q5</t>
        </is>
      </c>
      <c r="B149" t="inlineStr">
        <is>
          <t>P3</t>
        </is>
      </c>
      <c r="C149" t="inlineStr">
        <is>
          <t>P3-C7</t>
        </is>
      </c>
      <c r="D149" t="inlineStr">
        <is>
          <t>Em que medida Multi-Cloud e Portabilidade (disaster recovery drills) foi adotado entre as equipes?</t>
        </is>
      </c>
      <c r="F149" t="n">
        <v>1</v>
      </c>
      <c r="G149">
        <f>IF(E149="",0,1)</f>
        <v/>
      </c>
      <c r="H149">
        <f>IF(G149=1,E149*F149,0)</f>
        <v/>
      </c>
      <c r="I149">
        <f>IF(E149="","—",IF(E149&lt;0.5,"L0 — Inicial",IF(E149&lt;1.5,"L1 — Em Desenvolvimento",IF(E149&lt;2.5,"L2 — Definido",IF(E149&lt;3.5,"L3 — Gerenciado","L4 — Otimizando")))))</f>
        <v/>
      </c>
      <c r="J149" t="inlineStr"/>
    </row>
    <row r="150">
      <c r="A150" t="inlineStr">
        <is>
          <t>P3-C8-Q1</t>
        </is>
      </c>
      <c r="B150" t="inlineStr">
        <is>
          <t>P3</t>
        </is>
      </c>
      <c r="C150" t="inlineStr">
        <is>
          <t>P3-C8</t>
        </is>
      </c>
      <c r="D150" t="inlineStr">
        <is>
          <t>Em que medida Desempenho e Escalabilidade (performance budgets per service) foi adotado entre as equipes?</t>
        </is>
      </c>
      <c r="F150" t="n">
        <v>1</v>
      </c>
      <c r="G150">
        <f>IF(E150="",0,1)</f>
        <v/>
      </c>
      <c r="H150">
        <f>IF(G150=1,E150*F150,0)</f>
        <v/>
      </c>
      <c r="I150">
        <f>IF(E150="","—",IF(E150&lt;0.5,"L0 — Inicial",IF(E150&lt;1.5,"L1 — Em Desenvolvimento",IF(E150&lt;2.5,"L2 — Definido",IF(E150&lt;3.5,"L3 — Gerenciado","L4 — Otimizando")))))</f>
        <v/>
      </c>
      <c r="J150" t="inlineStr"/>
    </row>
    <row r="151">
      <c r="A151" t="inlineStr">
        <is>
          <t>P3-C8-Q2</t>
        </is>
      </c>
      <c r="B151" t="inlineStr">
        <is>
          <t>P3</t>
        </is>
      </c>
      <c r="C151" t="inlineStr">
        <is>
          <t>P3-C8</t>
        </is>
      </c>
      <c r="D151" t="inlineStr">
        <is>
          <t>Em que medida Desempenho e Escalabilidade (load/stress testing in CI) foi adotado entre as equipes?</t>
        </is>
      </c>
      <c r="F151" t="n">
        <v>1</v>
      </c>
      <c r="G151">
        <f>IF(E151="",0,1)</f>
        <v/>
      </c>
      <c r="H151">
        <f>IF(G151=1,E151*F151,0)</f>
        <v/>
      </c>
      <c r="I151">
        <f>IF(E151="","—",IF(E151&lt;0.5,"L0 — Inicial",IF(E151&lt;1.5,"L1 — Em Desenvolvimento",IF(E151&lt;2.5,"L2 — Definido",IF(E151&lt;3.5,"L3 — Gerenciado","L4 — Otimizando")))))</f>
        <v/>
      </c>
      <c r="J151" t="inlineStr"/>
    </row>
    <row r="152">
      <c r="A152" t="inlineStr">
        <is>
          <t>P3-C8-Q3</t>
        </is>
      </c>
      <c r="B152" t="inlineStr">
        <is>
          <t>P3</t>
        </is>
      </c>
      <c r="C152" t="inlineStr">
        <is>
          <t>P3-C8</t>
        </is>
      </c>
      <c r="D152" t="inlineStr">
        <is>
          <t>Em que medida Desempenho e Escalabilidade (autoscaling based on real demand) foi adotado entre as equipes?</t>
        </is>
      </c>
      <c r="F152" t="n">
        <v>1</v>
      </c>
      <c r="G152">
        <f>IF(E152="",0,1)</f>
        <v/>
      </c>
      <c r="H152">
        <f>IF(G152=1,E152*F152,0)</f>
        <v/>
      </c>
      <c r="I152">
        <f>IF(E152="","—",IF(E152&lt;0.5,"L0 — Inicial",IF(E152&lt;1.5,"L1 — Em Desenvolvimento",IF(E152&lt;2.5,"L2 — Definido",IF(E152&lt;3.5,"L3 — Gerenciado","L4 — Otimizando")))))</f>
        <v/>
      </c>
      <c r="J152" t="inlineStr"/>
    </row>
    <row r="153">
      <c r="A153" t="inlineStr">
        <is>
          <t>P3-C8-Q4</t>
        </is>
      </c>
      <c r="B153" t="inlineStr">
        <is>
          <t>P3</t>
        </is>
      </c>
      <c r="C153" t="inlineStr">
        <is>
          <t>P3-C8</t>
        </is>
      </c>
      <c r="D153" t="inlineStr">
        <is>
          <t>Em que medida Desempenho e Escalabilidade (profiling in production) foi adotado entre as equipes?</t>
        </is>
      </c>
      <c r="F153" t="n">
        <v>1</v>
      </c>
      <c r="G153">
        <f>IF(E153="",0,1)</f>
        <v/>
      </c>
      <c r="H153">
        <f>IF(G153=1,E153*F153,0)</f>
        <v/>
      </c>
      <c r="I153">
        <f>IF(E153="","—",IF(E153&lt;0.5,"L0 — Inicial",IF(E153&lt;1.5,"L1 — Em Desenvolvimento",IF(E153&lt;2.5,"L2 — Definido",IF(E153&lt;3.5,"L3 — Gerenciado","L4 — Otimizando")))))</f>
        <v/>
      </c>
      <c r="J153" t="inlineStr"/>
    </row>
    <row r="154">
      <c r="A154" t="inlineStr">
        <is>
          <t>P3-C8-Q5</t>
        </is>
      </c>
      <c r="B154" t="inlineStr">
        <is>
          <t>P3</t>
        </is>
      </c>
      <c r="C154" t="inlineStr">
        <is>
          <t>P3-C8</t>
        </is>
      </c>
      <c r="D154" t="inlineStr">
        <is>
          <t>Em que medida Desempenho e Escalabilidade (capacity planning cadence) foi adotado entre as equipes?</t>
        </is>
      </c>
      <c r="F154" t="n">
        <v>1</v>
      </c>
      <c r="G154">
        <f>IF(E154="",0,1)</f>
        <v/>
      </c>
      <c r="H154">
        <f>IF(G154=1,E154*F154,0)</f>
        <v/>
      </c>
      <c r="I154">
        <f>IF(E154="","—",IF(E154&lt;0.5,"L0 — Inicial",IF(E154&lt;1.5,"L1 — Em Desenvolvimento",IF(E154&lt;2.5,"L2 — Definido",IF(E154&lt;3.5,"L3 — Gerenciado","L4 — Otimizando")))))</f>
        <v/>
      </c>
      <c r="J154" t="inlineStr"/>
    </row>
    <row r="155">
      <c r="A155" t="inlineStr">
        <is>
          <t>P3-C9-Q1</t>
        </is>
      </c>
      <c r="B155" t="inlineStr">
        <is>
          <t>P3</t>
        </is>
      </c>
      <c r="C155" t="inlineStr">
        <is>
          <t>P3-C9</t>
        </is>
      </c>
      <c r="D155" t="inlineStr">
        <is>
          <t>Em que medida FinOps e Otimização de Custos (cost allocation &amp; showback) foi adotado entre as equipes?</t>
        </is>
      </c>
      <c r="F155" t="n">
        <v>1</v>
      </c>
      <c r="G155">
        <f>IF(E155="",0,1)</f>
        <v/>
      </c>
      <c r="H155">
        <f>IF(G155=1,E155*F155,0)</f>
        <v/>
      </c>
      <c r="I155">
        <f>IF(E155="","—",IF(E155&lt;0.5,"L0 — Inicial",IF(E155&lt;1.5,"L1 — Em Desenvolvimento",IF(E155&lt;2.5,"L2 — Definido",IF(E155&lt;3.5,"L3 — Gerenciado","L4 — Otimizando")))))</f>
        <v/>
      </c>
      <c r="J155" t="inlineStr"/>
    </row>
    <row r="156">
      <c r="A156" t="inlineStr">
        <is>
          <t>P3-C9-Q2</t>
        </is>
      </c>
      <c r="B156" t="inlineStr">
        <is>
          <t>P3</t>
        </is>
      </c>
      <c r="C156" t="inlineStr">
        <is>
          <t>P3-C9</t>
        </is>
      </c>
      <c r="D156" t="inlineStr">
        <is>
          <t>Em que medida FinOps e Otimização de Custos (committed use / savings plans) foi adotado entre as equipes?</t>
        </is>
      </c>
      <c r="F156" t="n">
        <v>1</v>
      </c>
      <c r="G156">
        <f>IF(E156="",0,1)</f>
        <v/>
      </c>
      <c r="H156">
        <f>IF(G156=1,E156*F156,0)</f>
        <v/>
      </c>
      <c r="I156">
        <f>IF(E156="","—",IF(E156&lt;0.5,"L0 — Inicial",IF(E156&lt;1.5,"L1 — Em Desenvolvimento",IF(E156&lt;2.5,"L2 — Definido",IF(E156&lt;3.5,"L3 — Gerenciado","L4 — Otimizando")))))</f>
        <v/>
      </c>
      <c r="J156" t="inlineStr"/>
    </row>
    <row r="157">
      <c r="A157" t="inlineStr">
        <is>
          <t>P3-C9-Q3</t>
        </is>
      </c>
      <c r="B157" t="inlineStr">
        <is>
          <t>P3</t>
        </is>
      </c>
      <c r="C157" t="inlineStr">
        <is>
          <t>P3-C9</t>
        </is>
      </c>
      <c r="D157" t="inlineStr">
        <is>
          <t>Em que medida FinOps e Otimização de Custos (idle and unused resource cleanup) foi adotado entre as equipes?</t>
        </is>
      </c>
      <c r="F157" t="n">
        <v>1</v>
      </c>
      <c r="G157">
        <f>IF(E157="",0,1)</f>
        <v/>
      </c>
      <c r="H157">
        <f>IF(G157=1,E157*F157,0)</f>
        <v/>
      </c>
      <c r="I157">
        <f>IF(E157="","—",IF(E157&lt;0.5,"L0 — Inicial",IF(E157&lt;1.5,"L1 — Em Desenvolvimento",IF(E157&lt;2.5,"L2 — Definido",IF(E157&lt;3.5,"L3 — Gerenciado","L4 — Otimizando")))))</f>
        <v/>
      </c>
      <c r="J157" t="inlineStr"/>
    </row>
    <row r="158">
      <c r="A158" t="inlineStr">
        <is>
          <t>P3-C9-Q4</t>
        </is>
      </c>
      <c r="B158" t="inlineStr">
        <is>
          <t>P3</t>
        </is>
      </c>
      <c r="C158" t="inlineStr">
        <is>
          <t>P3-C9</t>
        </is>
      </c>
      <c r="D158" t="inlineStr">
        <is>
          <t>Em que medida FinOps e Otimização de Custos (rightsizing recommendations) foi adotado entre as equipes?</t>
        </is>
      </c>
      <c r="F158" t="n">
        <v>1</v>
      </c>
      <c r="G158">
        <f>IF(E158="",0,1)</f>
        <v/>
      </c>
      <c r="H158">
        <f>IF(G158=1,E158*F158,0)</f>
        <v/>
      </c>
      <c r="I158">
        <f>IF(E158="","—",IF(E158&lt;0.5,"L0 — Inicial",IF(E158&lt;1.5,"L1 — Em Desenvolvimento",IF(E158&lt;2.5,"L2 — Definido",IF(E158&lt;3.5,"L3 — Gerenciado","L4 — Otimizando")))))</f>
        <v/>
      </c>
      <c r="J158" t="inlineStr"/>
    </row>
    <row r="159">
      <c r="A159" t="inlineStr">
        <is>
          <t>P3-C9-Q5</t>
        </is>
      </c>
      <c r="B159" t="inlineStr">
        <is>
          <t>P3</t>
        </is>
      </c>
      <c r="C159" t="inlineStr">
        <is>
          <t>P3-C9</t>
        </is>
      </c>
      <c r="D159" t="inlineStr">
        <is>
          <t>Em que medida FinOps e Otimização de Custos (unit economics per product) foi adotado entre as equipes?</t>
        </is>
      </c>
      <c r="F159" t="n">
        <v>1</v>
      </c>
      <c r="G159">
        <f>IF(E159="",0,1)</f>
        <v/>
      </c>
      <c r="H159">
        <f>IF(G159=1,E159*F159,0)</f>
        <v/>
      </c>
      <c r="I159">
        <f>IF(E159="","—",IF(E159&lt;0.5,"L0 — Inicial",IF(E159&lt;1.5,"L1 — Em Desenvolvimento",IF(E159&lt;2.5,"L2 — Definido",IF(E159&lt;3.5,"L3 — Gerenciado","L4 — Otimizando")))))</f>
        <v/>
      </c>
      <c r="J15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</t>
        </is>
      </c>
      <c r="B1" t="inlineStr">
        <is>
          <t>Nome</t>
        </is>
      </c>
      <c r="C1" t="inlineStr">
        <is>
          <t>Pilar</t>
        </is>
      </c>
      <c r="D1" t="inlineStr">
        <is>
          <t>Peso</t>
        </is>
      </c>
      <c r="E1" t="inlineStr">
        <is>
          <t>Respondidas</t>
        </is>
      </c>
      <c r="F1" t="inlineStr">
        <is>
          <t>Σ(Nível × Peso)</t>
        </is>
      </c>
      <c r="G1" t="inlineStr">
        <is>
          <t>Σ(Peso respondidas)</t>
        </is>
      </c>
      <c r="H1" t="inlineStr">
        <is>
          <t>Score</t>
        </is>
      </c>
      <c r="I1" t="inlineStr">
        <is>
          <t>Rótulo</t>
        </is>
      </c>
      <c r="J1" t="inlineStr">
        <is>
          <t>Target</t>
        </is>
      </c>
      <c r="K1" t="inlineStr">
        <is>
          <t>Gap</t>
        </is>
      </c>
      <c r="L1" t="inlineStr">
        <is>
          <t>Priority score</t>
        </is>
      </c>
      <c r="M1" t="inlineStr">
        <is>
          <t>Prioridade</t>
        </is>
      </c>
      <c r="N1" t="inlineStr">
        <is>
          <t>Score × Peso</t>
        </is>
      </c>
      <c r="O1" t="inlineStr">
        <is>
          <t>Peso se pontuada</t>
        </is>
      </c>
    </row>
    <row r="2">
      <c r="A2" t="inlineStr">
        <is>
          <t>P1-C1</t>
        </is>
      </c>
      <c r="B2" t="inlineStr">
        <is>
          <t>Assistentes de Codificação IA</t>
        </is>
      </c>
      <c r="C2" t="inlineStr">
        <is>
          <t>P1</t>
        </is>
      </c>
      <c r="D2" t="n">
        <v>1.2</v>
      </c>
      <c r="E2">
        <f>COUNTIFS('Respostas'!$C$2:$C$159,A2,'Respostas'!$G$2:$G$159,1)</f>
        <v/>
      </c>
      <c r="F2">
        <f>SUMIFS('Respostas'!$H$2:$H$159,'Respostas'!$C$2:$C$159,A2)</f>
        <v/>
      </c>
      <c r="G2">
        <f>SUMIFS('Respostas'!$F$2:$F$159,'Respostas'!$C$2:$C$159,A2,'Respostas'!$G$2:$G$159,1)</f>
        <v/>
      </c>
      <c r="H2">
        <f>IF(G2=0,"",F2/G2)</f>
        <v/>
      </c>
      <c r="I2">
        <f>IF(H2="","—",IF(H2&lt;0.5,"L0 — Inicial",IF(H2&lt;1.5,"L1 — Em Desenvolvimento",IF(H2&lt;2.5,"L2 — Definido",IF(H2&lt;3.5,"L3 — Gerenciado","L4 — Otimizando")))))</f>
        <v/>
      </c>
      <c r="J2" t="n">
        <v>4</v>
      </c>
      <c r="K2">
        <f>IF(H2="","",MAX(0,J2-H2))</f>
        <v/>
      </c>
      <c r="L2">
        <f>IF(K2="","",D2*K2)</f>
        <v/>
      </c>
      <c r="M2">
        <f>IF(L2="","",IF(L2&gt;=2.4,"P0 — Crítico",IF(L2&gt;=1.6,"P1 — Alto",IF(L2&gt;=0.9,"P2 — Médio","P3 — Baixo"))))</f>
        <v/>
      </c>
      <c r="N2">
        <f>IF(H2="",0,H2*D2)</f>
        <v/>
      </c>
      <c r="O2">
        <f>IF(H2="",0,D2)</f>
        <v/>
      </c>
    </row>
    <row r="3">
      <c r="A3" t="inlineStr">
        <is>
          <t>P1-C2</t>
        </is>
      </c>
      <c r="B3" t="inlineStr">
        <is>
          <t>Plataforma de Experiência do Desenvolvedor</t>
        </is>
      </c>
      <c r="C3" t="inlineStr">
        <is>
          <t>P1</t>
        </is>
      </c>
      <c r="D3" t="n">
        <v>1</v>
      </c>
      <c r="E3">
        <f>COUNTIFS('Respostas'!$C$2:$C$159,A3,'Respostas'!$G$2:$G$159,1)</f>
        <v/>
      </c>
      <c r="F3">
        <f>SUMIFS('Respostas'!$H$2:$H$159,'Respostas'!$C$2:$C$159,A3)</f>
        <v/>
      </c>
      <c r="G3">
        <f>SUMIFS('Respostas'!$F$2:$F$159,'Respostas'!$C$2:$C$159,A3,'Respostas'!$G$2:$G$159,1)</f>
        <v/>
      </c>
      <c r="H3">
        <f>IF(G3=0,"",F3/G3)</f>
        <v/>
      </c>
      <c r="I3">
        <f>IF(H3="","—",IF(H3&lt;0.5,"L0 — Inicial",IF(H3&lt;1.5,"L1 — Em Desenvolvimento",IF(H3&lt;2.5,"L2 — Definido",IF(H3&lt;3.5,"L3 — Gerenciado","L4 — Otimizando")))))</f>
        <v/>
      </c>
      <c r="J3" t="n">
        <v>3</v>
      </c>
      <c r="K3">
        <f>IF(H3="","",MAX(0,J3-H3))</f>
        <v/>
      </c>
      <c r="L3">
        <f>IF(K3="","",D3*K3)</f>
        <v/>
      </c>
      <c r="M3">
        <f>IF(L3="","",IF(L3&gt;=2.4,"P0 — Crítico",IF(L3&gt;=1.6,"P1 — Alto",IF(L3&gt;=0.9,"P2 — Médio","P3 — Baixo"))))</f>
        <v/>
      </c>
      <c r="N3">
        <f>IF(H3="",0,H3*D3)</f>
        <v/>
      </c>
      <c r="O3">
        <f>IF(H3="",0,D3)</f>
        <v/>
      </c>
    </row>
    <row r="4">
      <c r="A4" t="inlineStr">
        <is>
          <t>P1-C3</t>
        </is>
      </c>
      <c r="B4" t="inlineStr">
        <is>
          <t>Gestão do Conhecimento</t>
        </is>
      </c>
      <c r="C4" t="inlineStr">
        <is>
          <t>P1</t>
        </is>
      </c>
      <c r="D4" t="n">
        <v>0.8</v>
      </c>
      <c r="E4">
        <f>COUNTIFS('Respostas'!$C$2:$C$159,A4,'Respostas'!$G$2:$G$159,1)</f>
        <v/>
      </c>
      <c r="F4">
        <f>SUMIFS('Respostas'!$H$2:$H$159,'Respostas'!$C$2:$C$159,A4)</f>
        <v/>
      </c>
      <c r="G4">
        <f>SUMIFS('Respostas'!$F$2:$F$159,'Respostas'!$C$2:$C$159,A4,'Respostas'!$G$2:$G$159,1)</f>
        <v/>
      </c>
      <c r="H4">
        <f>IF(G4=0,"",F4/G4)</f>
        <v/>
      </c>
      <c r="I4">
        <f>IF(H4="","—",IF(H4&lt;0.5,"L0 — Inicial",IF(H4&lt;1.5,"L1 — Em Desenvolvimento",IF(H4&lt;2.5,"L2 — Definido",IF(H4&lt;3.5,"L3 — Gerenciado","L4 — Otimizando")))))</f>
        <v/>
      </c>
      <c r="J4" t="n">
        <v>3</v>
      </c>
      <c r="K4">
        <f>IF(H4="","",MAX(0,J4-H4))</f>
        <v/>
      </c>
      <c r="L4">
        <f>IF(K4="","",D4*K4)</f>
        <v/>
      </c>
      <c r="M4">
        <f>IF(L4="","",IF(L4&gt;=2.4,"P0 — Crítico",IF(L4&gt;=1.6,"P1 — Alto",IF(L4&gt;=0.9,"P2 — Médio","P3 — Baixo"))))</f>
        <v/>
      </c>
      <c r="N4">
        <f>IF(H4="",0,H4*D4)</f>
        <v/>
      </c>
      <c r="O4">
        <f>IF(H4="",0,D4)</f>
        <v/>
      </c>
    </row>
    <row r="5">
      <c r="A5" t="inlineStr">
        <is>
          <t>P1-C4</t>
        </is>
      </c>
      <c r="B5" t="inlineStr">
        <is>
          <t>Automação de Revisão de Código</t>
        </is>
      </c>
      <c r="C5" t="inlineStr">
        <is>
          <t>P1</t>
        </is>
      </c>
      <c r="D5" t="n">
        <v>1.1</v>
      </c>
      <c r="E5">
        <f>COUNTIFS('Respostas'!$C$2:$C$159,A5,'Respostas'!$G$2:$G$159,1)</f>
        <v/>
      </c>
      <c r="F5">
        <f>SUMIFS('Respostas'!$H$2:$H$159,'Respostas'!$C$2:$C$159,A5)</f>
        <v/>
      </c>
      <c r="G5">
        <f>SUMIFS('Respostas'!$F$2:$F$159,'Respostas'!$C$2:$C$159,A5,'Respostas'!$G$2:$G$159,1)</f>
        <v/>
      </c>
      <c r="H5">
        <f>IF(G5=0,"",F5/G5)</f>
        <v/>
      </c>
      <c r="I5">
        <f>IF(H5="","—",IF(H5&lt;0.5,"L0 — Inicial",IF(H5&lt;1.5,"L1 — Em Desenvolvimento",IF(H5&lt;2.5,"L2 — Definido",IF(H5&lt;3.5,"L3 — Gerenciado","L4 — Otimizando")))))</f>
        <v/>
      </c>
      <c r="J5" t="n">
        <v>3</v>
      </c>
      <c r="K5">
        <f>IF(H5="","",MAX(0,J5-H5))</f>
        <v/>
      </c>
      <c r="L5">
        <f>IF(K5="","",D5*K5)</f>
        <v/>
      </c>
      <c r="M5">
        <f>IF(L5="","",IF(L5&gt;=2.4,"P0 — Crítico",IF(L5&gt;=1.6,"P1 — Alto",IF(L5&gt;=0.9,"P2 — Médio","P3 — Baixo"))))</f>
        <v/>
      </c>
      <c r="N5">
        <f>IF(H5="",0,H5*D5)</f>
        <v/>
      </c>
      <c r="O5">
        <f>IF(H5="",0,D5)</f>
        <v/>
      </c>
    </row>
    <row r="6">
      <c r="A6" t="inlineStr">
        <is>
          <t>P1-C5</t>
        </is>
      </c>
      <c r="B6" t="inlineStr">
        <is>
          <t>Onboarding e Treinamento de Desenvolvedores</t>
        </is>
      </c>
      <c r="C6" t="inlineStr">
        <is>
          <t>P1</t>
        </is>
      </c>
      <c r="D6" t="n">
        <v>0.9</v>
      </c>
      <c r="E6">
        <f>COUNTIFS('Respostas'!$C$2:$C$159,A6,'Respostas'!$G$2:$G$159,1)</f>
        <v/>
      </c>
      <c r="F6">
        <f>SUMIFS('Respostas'!$H$2:$H$159,'Respostas'!$C$2:$C$159,A6)</f>
        <v/>
      </c>
      <c r="G6">
        <f>SUMIFS('Respostas'!$F$2:$F$159,'Respostas'!$C$2:$C$159,A6,'Respostas'!$G$2:$G$159,1)</f>
        <v/>
      </c>
      <c r="H6">
        <f>IF(G6=0,"",F6/G6)</f>
        <v/>
      </c>
      <c r="I6">
        <f>IF(H6="","—",IF(H6&lt;0.5,"L0 — Inicial",IF(H6&lt;1.5,"L1 — Em Desenvolvimento",IF(H6&lt;2.5,"L2 — Definido",IF(H6&lt;3.5,"L3 — Gerenciado","L4 — Otimizando")))))</f>
        <v/>
      </c>
      <c r="J6" t="n">
        <v>3</v>
      </c>
      <c r="K6">
        <f>IF(H6="","",MAX(0,J6-H6))</f>
        <v/>
      </c>
      <c r="L6">
        <f>IF(K6="","",D6*K6)</f>
        <v/>
      </c>
      <c r="M6">
        <f>IF(L6="","",IF(L6&gt;=2.4,"P0 — Crítico",IF(L6&gt;=1.6,"P1 — Alto",IF(L6&gt;=0.9,"P2 — Médio","P3 — Baixo"))))</f>
        <v/>
      </c>
      <c r="N6">
        <f>IF(H6="",0,H6*D6)</f>
        <v/>
      </c>
      <c r="O6">
        <f>IF(H6="",0,D6)</f>
        <v/>
      </c>
    </row>
    <row r="7">
      <c r="A7" t="inlineStr">
        <is>
          <t>P1-C6</t>
        </is>
      </c>
      <c r="B7" t="inlineStr">
        <is>
          <t>Inner Source e Colaboração</t>
        </is>
      </c>
      <c r="C7" t="inlineStr">
        <is>
          <t>P1</t>
        </is>
      </c>
      <c r="D7" t="n">
        <v>0.9</v>
      </c>
      <c r="E7">
        <f>COUNTIFS('Respostas'!$C$2:$C$159,A7,'Respostas'!$G$2:$G$159,1)</f>
        <v/>
      </c>
      <c r="F7">
        <f>SUMIFS('Respostas'!$H$2:$H$159,'Respostas'!$C$2:$C$159,A7)</f>
        <v/>
      </c>
      <c r="G7">
        <f>SUMIFS('Respostas'!$F$2:$F$159,'Respostas'!$C$2:$C$159,A7,'Respostas'!$G$2:$G$159,1)</f>
        <v/>
      </c>
      <c r="H7">
        <f>IF(G7=0,"",F7/G7)</f>
        <v/>
      </c>
      <c r="I7">
        <f>IF(H7="","—",IF(H7&lt;0.5,"L0 — Inicial",IF(H7&lt;1.5,"L1 — Em Desenvolvimento",IF(H7&lt;2.5,"L2 — Definido",IF(H7&lt;3.5,"L3 — Gerenciado","L4 — Otimizando")))))</f>
        <v/>
      </c>
      <c r="J7" t="n">
        <v>3</v>
      </c>
      <c r="K7">
        <f>IF(H7="","",MAX(0,J7-H7))</f>
        <v/>
      </c>
      <c r="L7">
        <f>IF(K7="","",D7*K7)</f>
        <v/>
      </c>
      <c r="M7">
        <f>IF(L7="","",IF(L7&gt;=2.4,"P0 — Crítico",IF(L7&gt;=1.6,"P1 — Alto",IF(L7&gt;=0.9,"P2 — Médio","P3 — Baixo"))))</f>
        <v/>
      </c>
      <c r="N7">
        <f>IF(H7="",0,H7*D7)</f>
        <v/>
      </c>
      <c r="O7">
        <f>IF(H7="",0,D7)</f>
        <v/>
      </c>
    </row>
    <row r="8">
      <c r="A8" t="inlineStr">
        <is>
          <t>P1-C7</t>
        </is>
      </c>
      <c r="B8" t="inlineStr">
        <is>
          <t>Automação de Documentação</t>
        </is>
      </c>
      <c r="C8" t="inlineStr">
        <is>
          <t>P1</t>
        </is>
      </c>
      <c r="D8" t="n">
        <v>0.8</v>
      </c>
      <c r="E8">
        <f>COUNTIFS('Respostas'!$C$2:$C$159,A8,'Respostas'!$G$2:$G$159,1)</f>
        <v/>
      </c>
      <c r="F8">
        <f>SUMIFS('Respostas'!$H$2:$H$159,'Respostas'!$C$2:$C$159,A8)</f>
        <v/>
      </c>
      <c r="G8">
        <f>SUMIFS('Respostas'!$F$2:$F$159,'Respostas'!$C$2:$C$159,A8,'Respostas'!$G$2:$G$159,1)</f>
        <v/>
      </c>
      <c r="H8">
        <f>IF(G8=0,"",F8/G8)</f>
        <v/>
      </c>
      <c r="I8">
        <f>IF(H8="","—",IF(H8&lt;0.5,"L0 — Inicial",IF(H8&lt;1.5,"L1 — Em Desenvolvimento",IF(H8&lt;2.5,"L2 — Definido",IF(H8&lt;3.5,"L3 — Gerenciado","L4 — Otimizando")))))</f>
        <v/>
      </c>
      <c r="J8" t="n">
        <v>3</v>
      </c>
      <c r="K8">
        <f>IF(H8="","",MAX(0,J8-H8))</f>
        <v/>
      </c>
      <c r="L8">
        <f>IF(K8="","",D8*K8)</f>
        <v/>
      </c>
      <c r="M8">
        <f>IF(L8="","",IF(L8&gt;=2.4,"P0 — Crítico",IF(L8&gt;=1.6,"P1 — Alto",IF(L8&gt;=0.9,"P2 — Médio","P3 — Baixo"))))</f>
        <v/>
      </c>
      <c r="N8">
        <f>IF(H8="",0,H8*D8)</f>
        <v/>
      </c>
      <c r="O8">
        <f>IF(H8="",0,D8)</f>
        <v/>
      </c>
    </row>
    <row r="9">
      <c r="A9" t="inlineStr">
        <is>
          <t>P1-C8</t>
        </is>
      </c>
      <c r="B9" t="inlineStr">
        <is>
          <t>Medição de Produtividade do Desenvolvedor</t>
        </is>
      </c>
      <c r="C9" t="inlineStr">
        <is>
          <t>P1</t>
        </is>
      </c>
      <c r="D9" t="n">
        <v>1</v>
      </c>
      <c r="E9">
        <f>COUNTIFS('Respostas'!$C$2:$C$159,A9,'Respostas'!$G$2:$G$159,1)</f>
        <v/>
      </c>
      <c r="F9">
        <f>SUMIFS('Respostas'!$H$2:$H$159,'Respostas'!$C$2:$C$159,A9)</f>
        <v/>
      </c>
      <c r="G9">
        <f>SUMIFS('Respostas'!$F$2:$F$159,'Respostas'!$C$2:$C$159,A9,'Respostas'!$G$2:$G$159,1)</f>
        <v/>
      </c>
      <c r="H9">
        <f>IF(G9=0,"",F9/G9)</f>
        <v/>
      </c>
      <c r="I9">
        <f>IF(H9="","—",IF(H9&lt;0.5,"L0 — Inicial",IF(H9&lt;1.5,"L1 — Em Desenvolvimento",IF(H9&lt;2.5,"L2 — Definido",IF(H9&lt;3.5,"L3 — Gerenciado","L4 — Otimizando")))))</f>
        <v/>
      </c>
      <c r="J9" t="n">
        <v>3</v>
      </c>
      <c r="K9">
        <f>IF(H9="","",MAX(0,J9-H9))</f>
        <v/>
      </c>
      <c r="L9">
        <f>IF(K9="","",D9*K9)</f>
        <v/>
      </c>
      <c r="M9">
        <f>IF(L9="","",IF(L9&gt;=2.4,"P0 — Crítico",IF(L9&gt;=1.6,"P1 — Alto",IF(L9&gt;=0.9,"P2 — Médio","P3 — Baixo"))))</f>
        <v/>
      </c>
      <c r="N9">
        <f>IF(H9="",0,H9*D9)</f>
        <v/>
      </c>
      <c r="O9">
        <f>IF(H9="",0,D9)</f>
        <v/>
      </c>
    </row>
    <row r="10">
      <c r="A10" t="inlineStr">
        <is>
          <t>P1-C9</t>
        </is>
      </c>
      <c r="B10" t="inlineStr">
        <is>
          <t>Automação de Ambientes e Espaços de Trabalho</t>
        </is>
      </c>
      <c r="C10" t="inlineStr">
        <is>
          <t>P1</t>
        </is>
      </c>
      <c r="D10" t="n">
        <v>0.9</v>
      </c>
      <c r="E10">
        <f>COUNTIFS('Respostas'!$C$2:$C$159,A10,'Respostas'!$G$2:$G$159,1)</f>
        <v/>
      </c>
      <c r="F10">
        <f>SUMIFS('Respostas'!$H$2:$H$159,'Respostas'!$C$2:$C$159,A10)</f>
        <v/>
      </c>
      <c r="G10">
        <f>SUMIFS('Respostas'!$F$2:$F$159,'Respostas'!$C$2:$C$159,A10,'Respostas'!$G$2:$G$159,1)</f>
        <v/>
      </c>
      <c r="H10">
        <f>IF(G10=0,"",F10/G10)</f>
        <v/>
      </c>
      <c r="I10">
        <f>IF(H10="","—",IF(H10&lt;0.5,"L0 — Inicial",IF(H10&lt;1.5,"L1 — Em Desenvolvimento",IF(H10&lt;2.5,"L2 — Definido",IF(H10&lt;3.5,"L3 — Gerenciado","L4 — Otimizando")))))</f>
        <v/>
      </c>
      <c r="J10" t="n">
        <v>3</v>
      </c>
      <c r="K10">
        <f>IF(H10="","",MAX(0,J10-H10))</f>
        <v/>
      </c>
      <c r="L10">
        <f>IF(K10="","",D10*K10)</f>
        <v/>
      </c>
      <c r="M10">
        <f>IF(L10="","",IF(L10&gt;=2.4,"P0 — Crítico",IF(L10&gt;=1.6,"P1 — Alto",IF(L10&gt;=0.9,"P2 — Médio","P3 — Baixo"))))</f>
        <v/>
      </c>
      <c r="N10">
        <f>IF(H10="",0,H10*D10)</f>
        <v/>
      </c>
      <c r="O10">
        <f>IF(H10="",0,D10)</f>
        <v/>
      </c>
    </row>
    <row r="11">
      <c r="A11" t="inlineStr">
        <is>
          <t>P2-C1</t>
        </is>
      </c>
      <c r="B11" t="inlineStr">
        <is>
          <t>Inteligência de Pipeline CI/CD</t>
        </is>
      </c>
      <c r="C11" t="inlineStr">
        <is>
          <t>P2</t>
        </is>
      </c>
      <c r="D11" t="n">
        <v>1.2</v>
      </c>
      <c r="E11">
        <f>COUNTIFS('Respostas'!$C$2:$C$159,A11,'Respostas'!$G$2:$G$159,1)</f>
        <v/>
      </c>
      <c r="F11">
        <f>SUMIFS('Respostas'!$H$2:$H$159,'Respostas'!$C$2:$C$159,A11)</f>
        <v/>
      </c>
      <c r="G11">
        <f>SUMIFS('Respostas'!$F$2:$F$159,'Respostas'!$C$2:$C$159,A11,'Respostas'!$G$2:$G$159,1)</f>
        <v/>
      </c>
      <c r="H11">
        <f>IF(G11=0,"",F11/G11)</f>
        <v/>
      </c>
      <c r="I11">
        <f>IF(H11="","—",IF(H11&lt;0.5,"L0 — Inicial",IF(H11&lt;1.5,"L1 — Em Desenvolvimento",IF(H11&lt;2.5,"L2 — Definido",IF(H11&lt;3.5,"L3 — Gerenciado","L4 — Otimizando")))))</f>
        <v/>
      </c>
      <c r="J11" t="n">
        <v>3</v>
      </c>
      <c r="K11">
        <f>IF(H11="","",MAX(0,J11-H11))</f>
        <v/>
      </c>
      <c r="L11">
        <f>IF(K11="","",D11*K11)</f>
        <v/>
      </c>
      <c r="M11">
        <f>IF(L11="","",IF(L11&gt;=2.4,"P0 — Crítico",IF(L11&gt;=1.6,"P1 — Alto",IF(L11&gt;=0.9,"P2 — Médio","P3 — Baixo"))))</f>
        <v/>
      </c>
      <c r="N11">
        <f>IF(H11="",0,H11*D11)</f>
        <v/>
      </c>
      <c r="O11">
        <f>IF(H11="",0,D11)</f>
        <v/>
      </c>
    </row>
    <row r="12">
      <c r="A12" t="inlineStr">
        <is>
          <t>P2-C2</t>
        </is>
      </c>
      <c r="B12" t="inlineStr">
        <is>
          <t>Infraestrutura como Código</t>
        </is>
      </c>
      <c r="C12" t="inlineStr">
        <is>
          <t>P2</t>
        </is>
      </c>
      <c r="D12" t="n">
        <v>1.1</v>
      </c>
      <c r="E12">
        <f>COUNTIFS('Respostas'!$C$2:$C$159,A12,'Respostas'!$G$2:$G$159,1)</f>
        <v/>
      </c>
      <c r="F12">
        <f>SUMIFS('Respostas'!$H$2:$H$159,'Respostas'!$C$2:$C$159,A12)</f>
        <v/>
      </c>
      <c r="G12">
        <f>SUMIFS('Respostas'!$F$2:$F$159,'Respostas'!$C$2:$C$159,A12,'Respostas'!$G$2:$G$159,1)</f>
        <v/>
      </c>
      <c r="H12">
        <f>IF(G12=0,"",F12/G12)</f>
        <v/>
      </c>
      <c r="I12">
        <f>IF(H12="","—",IF(H12&lt;0.5,"L0 — Inicial",IF(H12&lt;1.5,"L1 — Em Desenvolvimento",IF(H12&lt;2.5,"L2 — Definido",IF(H12&lt;3.5,"L3 — Gerenciado","L4 — Otimizando")))))</f>
        <v/>
      </c>
      <c r="J12" t="n">
        <v>3</v>
      </c>
      <c r="K12">
        <f>IF(H12="","",MAX(0,J12-H12))</f>
        <v/>
      </c>
      <c r="L12">
        <f>IF(K12="","",D12*K12)</f>
        <v/>
      </c>
      <c r="M12">
        <f>IF(L12="","",IF(L12&gt;=2.4,"P0 — Crítico",IF(L12&gt;=1.6,"P1 — Alto",IF(L12&gt;=0.9,"P2 — Médio","P3 — Baixo"))))</f>
        <v/>
      </c>
      <c r="N12">
        <f>IF(H12="",0,H12*D12)</f>
        <v/>
      </c>
      <c r="O12">
        <f>IF(H12="",0,D12)</f>
        <v/>
      </c>
    </row>
    <row r="13">
      <c r="A13" t="inlineStr">
        <is>
          <t>P2-C3</t>
        </is>
      </c>
      <c r="B13" t="inlineStr">
        <is>
          <t>Observabilidade e Monitoramento</t>
        </is>
      </c>
      <c r="C13" t="inlineStr">
        <is>
          <t>P2</t>
        </is>
      </c>
      <c r="D13" t="n">
        <v>1</v>
      </c>
      <c r="E13">
        <f>COUNTIFS('Respostas'!$C$2:$C$159,A13,'Respostas'!$G$2:$G$159,1)</f>
        <v/>
      </c>
      <c r="F13">
        <f>SUMIFS('Respostas'!$H$2:$H$159,'Respostas'!$C$2:$C$159,A13)</f>
        <v/>
      </c>
      <c r="G13">
        <f>SUMIFS('Respostas'!$F$2:$F$159,'Respostas'!$C$2:$C$159,A13,'Respostas'!$G$2:$G$159,1)</f>
        <v/>
      </c>
      <c r="H13">
        <f>IF(G13=0,"",F13/G13)</f>
        <v/>
      </c>
      <c r="I13">
        <f>IF(H13="","—",IF(H13&lt;0.5,"L0 — Inicial",IF(H13&lt;1.5,"L1 — Em Desenvolvimento",IF(H13&lt;2.5,"L2 — Definido",IF(H13&lt;3.5,"L3 — Gerenciado","L4 — Otimizando")))))</f>
        <v/>
      </c>
      <c r="J13" t="n">
        <v>3</v>
      </c>
      <c r="K13">
        <f>IF(H13="","",MAX(0,J13-H13))</f>
        <v/>
      </c>
      <c r="L13">
        <f>IF(K13="","",D13*K13)</f>
        <v/>
      </c>
      <c r="M13">
        <f>IF(L13="","",IF(L13&gt;=2.4,"P0 — Crítico",IF(L13&gt;=1.6,"P1 — Alto",IF(L13&gt;=0.9,"P2 — Médio","P3 — Baixo"))))</f>
        <v/>
      </c>
      <c r="N13">
        <f>IF(H13="",0,H13*D13)</f>
        <v/>
      </c>
      <c r="O13">
        <f>IF(H13="",0,D13)</f>
        <v/>
      </c>
    </row>
    <row r="14">
      <c r="A14" t="inlineStr">
        <is>
          <t>P2-C4</t>
        </is>
      </c>
      <c r="B14" t="inlineStr">
        <is>
          <t>Integração de Segurança (DevSecOps)</t>
        </is>
      </c>
      <c r="C14" t="inlineStr">
        <is>
          <t>P2</t>
        </is>
      </c>
      <c r="D14" t="n">
        <v>1.2</v>
      </c>
      <c r="E14">
        <f>COUNTIFS('Respostas'!$C$2:$C$159,A14,'Respostas'!$G$2:$G$159,1)</f>
        <v/>
      </c>
      <c r="F14">
        <f>SUMIFS('Respostas'!$H$2:$H$159,'Respostas'!$C$2:$C$159,A14)</f>
        <v/>
      </c>
      <c r="G14">
        <f>SUMIFS('Respostas'!$F$2:$F$159,'Respostas'!$C$2:$C$159,A14,'Respostas'!$G$2:$G$159,1)</f>
        <v/>
      </c>
      <c r="H14">
        <f>IF(G14=0,"",F14/G14)</f>
        <v/>
      </c>
      <c r="I14">
        <f>IF(H14="","—",IF(H14&lt;0.5,"L0 — Inicial",IF(H14&lt;1.5,"L1 — Em Desenvolvimento",IF(H14&lt;2.5,"L2 — Definido",IF(H14&lt;3.5,"L3 — Gerenciado","L4 — Otimizando")))))</f>
        <v/>
      </c>
      <c r="J14" t="n">
        <v>3.5</v>
      </c>
      <c r="K14">
        <f>IF(H14="","",MAX(0,J14-H14))</f>
        <v/>
      </c>
      <c r="L14">
        <f>IF(K14="","",D14*K14)</f>
        <v/>
      </c>
      <c r="M14">
        <f>IF(L14="","",IF(L14&gt;=2.4,"P0 — Crítico",IF(L14&gt;=1.6,"P1 — Alto",IF(L14&gt;=0.9,"P2 — Médio","P3 — Baixo"))))</f>
        <v/>
      </c>
      <c r="N14">
        <f>IF(H14="",0,H14*D14)</f>
        <v/>
      </c>
      <c r="O14">
        <f>IF(H14="",0,D14)</f>
        <v/>
      </c>
    </row>
    <row r="15">
      <c r="A15" t="inlineStr">
        <is>
          <t>P2-C5</t>
        </is>
      </c>
      <c r="B15" t="inlineStr">
        <is>
          <t>Estratégias de Release e Implantação</t>
        </is>
      </c>
      <c r="C15" t="inlineStr">
        <is>
          <t>P2</t>
        </is>
      </c>
      <c r="D15" t="n">
        <v>1.1</v>
      </c>
      <c r="E15">
        <f>COUNTIFS('Respostas'!$C$2:$C$159,A15,'Respostas'!$G$2:$G$159,1)</f>
        <v/>
      </c>
      <c r="F15">
        <f>SUMIFS('Respostas'!$H$2:$H$159,'Respostas'!$C$2:$C$159,A15)</f>
        <v/>
      </c>
      <c r="G15">
        <f>SUMIFS('Respostas'!$F$2:$F$159,'Respostas'!$C$2:$C$159,A15,'Respostas'!$G$2:$G$159,1)</f>
        <v/>
      </c>
      <c r="H15">
        <f>IF(G15=0,"",F15/G15)</f>
        <v/>
      </c>
      <c r="I15">
        <f>IF(H15="","—",IF(H15&lt;0.5,"L0 — Inicial",IF(H15&lt;1.5,"L1 — Em Desenvolvimento",IF(H15&lt;2.5,"L2 — Definido",IF(H15&lt;3.5,"L3 — Gerenciado","L4 — Otimizando")))))</f>
        <v/>
      </c>
      <c r="J15" t="n">
        <v>3</v>
      </c>
      <c r="K15">
        <f>IF(H15="","",MAX(0,J15-H15))</f>
        <v/>
      </c>
      <c r="L15">
        <f>IF(K15="","",D15*K15)</f>
        <v/>
      </c>
      <c r="M15">
        <f>IF(L15="","",IF(L15&gt;=2.4,"P0 — Crítico",IF(L15&gt;=1.6,"P1 — Alto",IF(L15&gt;=0.9,"P2 — Médio","P3 — Baixo"))))</f>
        <v/>
      </c>
      <c r="N15">
        <f>IF(H15="",0,H15*D15)</f>
        <v/>
      </c>
      <c r="O15">
        <f>IF(H15="",0,D15)</f>
        <v/>
      </c>
    </row>
    <row r="16">
      <c r="A16" t="inlineStr">
        <is>
          <t>P2-C6</t>
        </is>
      </c>
      <c r="B16" t="inlineStr">
        <is>
          <t>Automação de Testes</t>
        </is>
      </c>
      <c r="C16" t="inlineStr">
        <is>
          <t>P2</t>
        </is>
      </c>
      <c r="D16" t="n">
        <v>1.1</v>
      </c>
      <c r="E16">
        <f>COUNTIFS('Respostas'!$C$2:$C$159,A16,'Respostas'!$G$2:$G$159,1)</f>
        <v/>
      </c>
      <c r="F16">
        <f>SUMIFS('Respostas'!$H$2:$H$159,'Respostas'!$C$2:$C$159,A16)</f>
        <v/>
      </c>
      <c r="G16">
        <f>SUMIFS('Respostas'!$F$2:$F$159,'Respostas'!$C$2:$C$159,A16,'Respostas'!$G$2:$G$159,1)</f>
        <v/>
      </c>
      <c r="H16">
        <f>IF(G16=0,"",F16/G16)</f>
        <v/>
      </c>
      <c r="I16">
        <f>IF(H16="","—",IF(H16&lt;0.5,"L0 — Inicial",IF(H16&lt;1.5,"L1 — Em Desenvolvimento",IF(H16&lt;2.5,"L2 — Definido",IF(H16&lt;3.5,"L3 — Gerenciado","L4 — Otimizando")))))</f>
        <v/>
      </c>
      <c r="J16" t="n">
        <v>3</v>
      </c>
      <c r="K16">
        <f>IF(H16="","",MAX(0,J16-H16))</f>
        <v/>
      </c>
      <c r="L16">
        <f>IF(K16="","",D16*K16)</f>
        <v/>
      </c>
      <c r="M16">
        <f>IF(L16="","",IF(L16&gt;=2.4,"P0 — Crítico",IF(L16&gt;=1.6,"P1 — Alto",IF(L16&gt;=0.9,"P2 — Médio","P3 — Baixo"))))</f>
        <v/>
      </c>
      <c r="N16">
        <f>IF(H16="",0,H16*D16)</f>
        <v/>
      </c>
      <c r="O16">
        <f>IF(H16="",0,D16)</f>
        <v/>
      </c>
    </row>
    <row r="17">
      <c r="A17" t="inlineStr">
        <is>
          <t>P2-C7</t>
        </is>
      </c>
      <c r="B17" t="inlineStr">
        <is>
          <t>Gestão de Incidentes e SRE</t>
        </is>
      </c>
      <c r="C17" t="inlineStr">
        <is>
          <t>P2</t>
        </is>
      </c>
      <c r="D17" t="n">
        <v>1.1</v>
      </c>
      <c r="E17">
        <f>COUNTIFS('Respostas'!$C$2:$C$159,A17,'Respostas'!$G$2:$G$159,1)</f>
        <v/>
      </c>
      <c r="F17">
        <f>SUMIFS('Respostas'!$H$2:$H$159,'Respostas'!$C$2:$C$159,A17)</f>
        <v/>
      </c>
      <c r="G17">
        <f>SUMIFS('Respostas'!$F$2:$F$159,'Respostas'!$C$2:$C$159,A17,'Respostas'!$G$2:$G$159,1)</f>
        <v/>
      </c>
      <c r="H17">
        <f>IF(G17=0,"",F17/G17)</f>
        <v/>
      </c>
      <c r="I17">
        <f>IF(H17="","—",IF(H17&lt;0.5,"L0 — Inicial",IF(H17&lt;1.5,"L1 — Em Desenvolvimento",IF(H17&lt;2.5,"L2 — Definido",IF(H17&lt;3.5,"L3 — Gerenciado","L4 — Otimizando")))))</f>
        <v/>
      </c>
      <c r="J17" t="n">
        <v>3</v>
      </c>
      <c r="K17">
        <f>IF(H17="","",MAX(0,J17-H17))</f>
        <v/>
      </c>
      <c r="L17">
        <f>IF(K17="","",D17*K17)</f>
        <v/>
      </c>
      <c r="M17">
        <f>IF(L17="","",IF(L17&gt;=2.4,"P0 — Crítico",IF(L17&gt;=1.6,"P1 — Alto",IF(L17&gt;=0.9,"P2 — Médio","P3 — Baixo"))))</f>
        <v/>
      </c>
      <c r="N17">
        <f>IF(H17="",0,H17*D17)</f>
        <v/>
      </c>
      <c r="O17">
        <f>IF(H17="",0,D17)</f>
        <v/>
      </c>
    </row>
    <row r="18">
      <c r="A18" t="inlineStr">
        <is>
          <t>P2-C8</t>
        </is>
      </c>
      <c r="B18" t="inlineStr">
        <is>
          <t>Gestão de Artefatos e Pacotes</t>
        </is>
      </c>
      <c r="C18" t="inlineStr">
        <is>
          <t>P2</t>
        </is>
      </c>
      <c r="D18" t="n">
        <v>0.9</v>
      </c>
      <c r="E18">
        <f>COUNTIFS('Respostas'!$C$2:$C$159,A18,'Respostas'!$G$2:$G$159,1)</f>
        <v/>
      </c>
      <c r="F18">
        <f>SUMIFS('Respostas'!$H$2:$H$159,'Respostas'!$C$2:$C$159,A18)</f>
        <v/>
      </c>
      <c r="G18">
        <f>SUMIFS('Respostas'!$F$2:$F$159,'Respostas'!$C$2:$C$159,A18,'Respostas'!$G$2:$G$159,1)</f>
        <v/>
      </c>
      <c r="H18">
        <f>IF(G18=0,"",F18/G18)</f>
        <v/>
      </c>
      <c r="I18">
        <f>IF(H18="","—",IF(H18&lt;0.5,"L0 — Inicial",IF(H18&lt;1.5,"L1 — Em Desenvolvimento",IF(H18&lt;2.5,"L2 — Definido",IF(H18&lt;3.5,"L3 — Gerenciado","L4 — Otimizando")))))</f>
        <v/>
      </c>
      <c r="J18" t="n">
        <v>3</v>
      </c>
      <c r="K18">
        <f>IF(H18="","",MAX(0,J18-H18))</f>
        <v/>
      </c>
      <c r="L18">
        <f>IF(K18="","",D18*K18)</f>
        <v/>
      </c>
      <c r="M18">
        <f>IF(L18="","",IF(L18&gt;=2.4,"P0 — Crítico",IF(L18&gt;=1.6,"P1 — Alto",IF(L18&gt;=0.9,"P2 — Médio","P3 — Baixo"))))</f>
        <v/>
      </c>
      <c r="N18">
        <f>IF(H18="",0,H18*D18)</f>
        <v/>
      </c>
      <c r="O18">
        <f>IF(H18="",0,D18)</f>
        <v/>
      </c>
    </row>
    <row r="19">
      <c r="A19" t="inlineStr">
        <is>
          <t>P2-C9</t>
        </is>
      </c>
      <c r="B19" t="inlineStr">
        <is>
          <t>Gestão de Mudanças e GitOps</t>
        </is>
      </c>
      <c r="C19" t="inlineStr">
        <is>
          <t>P2</t>
        </is>
      </c>
      <c r="D19" t="n">
        <v>1</v>
      </c>
      <c r="E19">
        <f>COUNTIFS('Respostas'!$C$2:$C$159,A19,'Respostas'!$G$2:$G$159,1)</f>
        <v/>
      </c>
      <c r="F19">
        <f>SUMIFS('Respostas'!$H$2:$H$159,'Respostas'!$C$2:$C$159,A19)</f>
        <v/>
      </c>
      <c r="G19">
        <f>SUMIFS('Respostas'!$F$2:$F$159,'Respostas'!$C$2:$C$159,A19,'Respostas'!$G$2:$G$159,1)</f>
        <v/>
      </c>
      <c r="H19">
        <f>IF(G19=0,"",F19/G19)</f>
        <v/>
      </c>
      <c r="I19">
        <f>IF(H19="","—",IF(H19&lt;0.5,"L0 — Inicial",IF(H19&lt;1.5,"L1 — Em Desenvolvimento",IF(H19&lt;2.5,"L2 — Definido",IF(H19&lt;3.5,"L3 — Gerenciado","L4 — Otimizando")))))</f>
        <v/>
      </c>
      <c r="J19" t="n">
        <v>3</v>
      </c>
      <c r="K19">
        <f>IF(H19="","",MAX(0,J19-H19))</f>
        <v/>
      </c>
      <c r="L19">
        <f>IF(K19="","",D19*K19)</f>
        <v/>
      </c>
      <c r="M19">
        <f>IF(L19="","",IF(L19&gt;=2.4,"P0 — Crítico",IF(L19&gt;=1.6,"P1 — Alto",IF(L19&gt;=0.9,"P2 — Médio","P3 — Baixo"))))</f>
        <v/>
      </c>
      <c r="N19">
        <f>IF(H19="",0,H19*D19)</f>
        <v/>
      </c>
      <c r="O19">
        <f>IF(H19="",0,D19)</f>
        <v/>
      </c>
    </row>
    <row r="20">
      <c r="A20" t="inlineStr">
        <is>
          <t>P2-C10</t>
        </is>
      </c>
      <c r="B20" t="inlineStr">
        <is>
          <t>Segurança de Dependências e Cadeia de Suprimentos</t>
        </is>
      </c>
      <c r="C20" t="inlineStr">
        <is>
          <t>P2</t>
        </is>
      </c>
      <c r="D20" t="n">
        <v>1.1</v>
      </c>
      <c r="E20">
        <f>COUNTIFS('Respostas'!$C$2:$C$159,A20,'Respostas'!$G$2:$G$159,1)</f>
        <v/>
      </c>
      <c r="F20">
        <f>SUMIFS('Respostas'!$H$2:$H$159,'Respostas'!$C$2:$C$159,A20)</f>
        <v/>
      </c>
      <c r="G20">
        <f>SUMIFS('Respostas'!$F$2:$F$159,'Respostas'!$C$2:$C$159,A20,'Respostas'!$G$2:$G$159,1)</f>
        <v/>
      </c>
      <c r="H20">
        <f>IF(G20=0,"",F20/G20)</f>
        <v/>
      </c>
      <c r="I20">
        <f>IF(H20="","—",IF(H20&lt;0.5,"L0 — Inicial",IF(H20&lt;1.5,"L1 — Em Desenvolvimento",IF(H20&lt;2.5,"L2 — Definido",IF(H20&lt;3.5,"L3 — Gerenciado","L4 — Otimizando")))))</f>
        <v/>
      </c>
      <c r="J20" t="n">
        <v>3</v>
      </c>
      <c r="K20">
        <f>IF(H20="","",MAX(0,J20-H20))</f>
        <v/>
      </c>
      <c r="L20">
        <f>IF(K20="","",D20*K20)</f>
        <v/>
      </c>
      <c r="M20">
        <f>IF(L20="","",IF(L20&gt;=2.4,"P0 — Crítico",IF(L20&gt;=1.6,"P1 — Alto",IF(L20&gt;=0.9,"P2 — Médio","P3 — Baixo"))))</f>
        <v/>
      </c>
      <c r="N20">
        <f>IF(H20="",0,H20*D20)</f>
        <v/>
      </c>
      <c r="O20">
        <f>IF(H20="",0,D20)</f>
        <v/>
      </c>
    </row>
    <row r="21">
      <c r="A21" t="inlineStr">
        <is>
          <t>P3-C1</t>
        </is>
      </c>
      <c r="B21" t="inlineStr">
        <is>
          <t>Arquitetura Cloud-Native</t>
        </is>
      </c>
      <c r="C21" t="inlineStr">
        <is>
          <t>P3</t>
        </is>
      </c>
      <c r="D21" t="n">
        <v>1.1</v>
      </c>
      <c r="E21">
        <f>COUNTIFS('Respostas'!$C$2:$C$159,A21,'Respostas'!$G$2:$G$159,1)</f>
        <v/>
      </c>
      <c r="F21">
        <f>SUMIFS('Respostas'!$H$2:$H$159,'Respostas'!$C$2:$C$159,A21)</f>
        <v/>
      </c>
      <c r="G21">
        <f>SUMIFS('Respostas'!$F$2:$F$159,'Respostas'!$C$2:$C$159,A21,'Respostas'!$G$2:$G$159,1)</f>
        <v/>
      </c>
      <c r="H21">
        <f>IF(G21=0,"",F21/G21)</f>
        <v/>
      </c>
      <c r="I21">
        <f>IF(H21="","—",IF(H21&lt;0.5,"L0 — Inicial",IF(H21&lt;1.5,"L1 — Em Desenvolvimento",IF(H21&lt;2.5,"L2 — Definido",IF(H21&lt;3.5,"L3 — Gerenciado","L4 — Otimizando")))))</f>
        <v/>
      </c>
      <c r="J21" t="n">
        <v>3</v>
      </c>
      <c r="K21">
        <f>IF(H21="","",MAX(0,J21-H21))</f>
        <v/>
      </c>
      <c r="L21">
        <f>IF(K21="","",D21*K21)</f>
        <v/>
      </c>
      <c r="M21">
        <f>IF(L21="","",IF(L21&gt;=2.4,"P0 — Crítico",IF(L21&gt;=1.6,"P1 — Alto",IF(L21&gt;=0.9,"P2 — Médio","P3 — Baixo"))))</f>
        <v/>
      </c>
      <c r="N21">
        <f>IF(H21="",0,H21*D21)</f>
        <v/>
      </c>
      <c r="O21">
        <f>IF(H21="",0,D21)</f>
        <v/>
      </c>
    </row>
    <row r="22">
      <c r="A22" t="inlineStr">
        <is>
          <t>P3-C2</t>
        </is>
      </c>
      <c r="B22" t="inlineStr">
        <is>
          <t>Gestão de APIs</t>
        </is>
      </c>
      <c r="C22" t="inlineStr">
        <is>
          <t>P3</t>
        </is>
      </c>
      <c r="D22" t="n">
        <v>0.9</v>
      </c>
      <c r="E22">
        <f>COUNTIFS('Respostas'!$C$2:$C$159,A22,'Respostas'!$G$2:$G$159,1)</f>
        <v/>
      </c>
      <c r="F22">
        <f>SUMIFS('Respostas'!$H$2:$H$159,'Respostas'!$C$2:$C$159,A22)</f>
        <v/>
      </c>
      <c r="G22">
        <f>SUMIFS('Respostas'!$F$2:$F$159,'Respostas'!$C$2:$C$159,A22,'Respostas'!$G$2:$G$159,1)</f>
        <v/>
      </c>
      <c r="H22">
        <f>IF(G22=0,"",F22/G22)</f>
        <v/>
      </c>
      <c r="I22">
        <f>IF(H22="","—",IF(H22&lt;0.5,"L0 — Inicial",IF(H22&lt;1.5,"L1 — Em Desenvolvimento",IF(H22&lt;2.5,"L2 — Definido",IF(H22&lt;3.5,"L3 — Gerenciado","L4 — Otimizando")))))</f>
        <v/>
      </c>
      <c r="J22" t="n">
        <v>3</v>
      </c>
      <c r="K22">
        <f>IF(H22="","",MAX(0,J22-H22))</f>
        <v/>
      </c>
      <c r="L22">
        <f>IF(K22="","",D22*K22)</f>
        <v/>
      </c>
      <c r="M22">
        <f>IF(L22="","",IF(L22&gt;=2.4,"P0 — Crítico",IF(L22&gt;=1.6,"P1 — Alto",IF(L22&gt;=0.9,"P2 — Médio","P3 — Baixo"))))</f>
        <v/>
      </c>
      <c r="N22">
        <f>IF(H22="",0,H22*D22)</f>
        <v/>
      </c>
      <c r="O22">
        <f>IF(H22="",0,D22)</f>
        <v/>
      </c>
    </row>
    <row r="23">
      <c r="A23" t="inlineStr">
        <is>
          <t>P3-C3</t>
        </is>
      </c>
      <c r="B23" t="inlineStr">
        <is>
          <t>Desenvolvimento de Aplicações IA</t>
        </is>
      </c>
      <c r="C23" t="inlineStr">
        <is>
          <t>P3</t>
        </is>
      </c>
      <c r="D23" t="n">
        <v>1</v>
      </c>
      <c r="E23">
        <f>COUNTIFS('Respostas'!$C$2:$C$159,A23,'Respostas'!$G$2:$G$159,1)</f>
        <v/>
      </c>
      <c r="F23">
        <f>SUMIFS('Respostas'!$H$2:$H$159,'Respostas'!$C$2:$C$159,A23)</f>
        <v/>
      </c>
      <c r="G23">
        <f>SUMIFS('Respostas'!$F$2:$F$159,'Respostas'!$C$2:$C$159,A23,'Respostas'!$G$2:$G$159,1)</f>
        <v/>
      </c>
      <c r="H23">
        <f>IF(G23=0,"",F23/G23)</f>
        <v/>
      </c>
      <c r="I23">
        <f>IF(H23="","—",IF(H23&lt;0.5,"L0 — Inicial",IF(H23&lt;1.5,"L1 — Em Desenvolvimento",IF(H23&lt;2.5,"L2 — Definido",IF(H23&lt;3.5,"L3 — Gerenciado","L4 — Otimizando")))))</f>
        <v/>
      </c>
      <c r="J23" t="n">
        <v>3</v>
      </c>
      <c r="K23">
        <f>IF(H23="","",MAX(0,J23-H23))</f>
        <v/>
      </c>
      <c r="L23">
        <f>IF(K23="","",D23*K23)</f>
        <v/>
      </c>
      <c r="M23">
        <f>IF(L23="","",IF(L23&gt;=2.4,"P0 — Crítico",IF(L23&gt;=1.6,"P1 — Alto",IF(L23&gt;=0.9,"P2 — Médio","P3 — Baixo"))))</f>
        <v/>
      </c>
      <c r="N23">
        <f>IF(H23="",0,H23*D23)</f>
        <v/>
      </c>
      <c r="O23">
        <f>IF(H23="",0,D23)</f>
        <v/>
      </c>
    </row>
    <row r="24">
      <c r="A24" t="inlineStr">
        <is>
          <t>P3-C4</t>
        </is>
      </c>
      <c r="B24" t="inlineStr">
        <is>
          <t>Plataforma de Dados e Lakehouse</t>
        </is>
      </c>
      <c r="C24" t="inlineStr">
        <is>
          <t>P3</t>
        </is>
      </c>
      <c r="D24" t="n">
        <v>1</v>
      </c>
      <c r="E24">
        <f>COUNTIFS('Respostas'!$C$2:$C$159,A24,'Respostas'!$G$2:$G$159,1)</f>
        <v/>
      </c>
      <c r="F24">
        <f>SUMIFS('Respostas'!$H$2:$H$159,'Respostas'!$C$2:$C$159,A24)</f>
        <v/>
      </c>
      <c r="G24">
        <f>SUMIFS('Respostas'!$F$2:$F$159,'Respostas'!$C$2:$C$159,A24,'Respostas'!$G$2:$G$159,1)</f>
        <v/>
      </c>
      <c r="H24">
        <f>IF(G24=0,"",F24/G24)</f>
        <v/>
      </c>
      <c r="I24">
        <f>IF(H24="","—",IF(H24&lt;0.5,"L0 — Inicial",IF(H24&lt;1.5,"L1 — Em Desenvolvimento",IF(H24&lt;2.5,"L2 — Definido",IF(H24&lt;3.5,"L3 — Gerenciado","L4 — Otimizando")))))</f>
        <v/>
      </c>
      <c r="J24" t="n">
        <v>3</v>
      </c>
      <c r="K24">
        <f>IF(H24="","",MAX(0,J24-H24))</f>
        <v/>
      </c>
      <c r="L24">
        <f>IF(K24="","",D24*K24)</f>
        <v/>
      </c>
      <c r="M24">
        <f>IF(L24="","",IF(L24&gt;=2.4,"P0 — Crítico",IF(L24&gt;=1.6,"P1 — Alto",IF(L24&gt;=0.9,"P2 — Médio","P3 — Baixo"))))</f>
        <v/>
      </c>
      <c r="N24">
        <f>IF(H24="",0,H24*D24)</f>
        <v/>
      </c>
      <c r="O24">
        <f>IF(H24="",0,D24)</f>
        <v/>
      </c>
    </row>
    <row r="25">
      <c r="A25" t="inlineStr">
        <is>
          <t>P3-C5</t>
        </is>
      </c>
      <c r="B25" t="inlineStr">
        <is>
          <t>Aplicações Agênticas</t>
        </is>
      </c>
      <c r="C25" t="inlineStr">
        <is>
          <t>P3</t>
        </is>
      </c>
      <c r="D25" t="n">
        <v>1</v>
      </c>
      <c r="E25">
        <f>COUNTIFS('Respostas'!$C$2:$C$159,A25,'Respostas'!$G$2:$G$159,1)</f>
        <v/>
      </c>
      <c r="F25">
        <f>SUMIFS('Respostas'!$H$2:$H$159,'Respostas'!$C$2:$C$159,A25)</f>
        <v/>
      </c>
      <c r="G25">
        <f>SUMIFS('Respostas'!$F$2:$F$159,'Respostas'!$C$2:$C$159,A25,'Respostas'!$G$2:$G$159,1)</f>
        <v/>
      </c>
      <c r="H25">
        <f>IF(G25=0,"",F25/G25)</f>
        <v/>
      </c>
      <c r="I25">
        <f>IF(H25="","—",IF(H25&lt;0.5,"L0 — Inicial",IF(H25&lt;1.5,"L1 — Em Desenvolvimento",IF(H25&lt;2.5,"L2 — Definido",IF(H25&lt;3.5,"L3 — Gerenciado","L4 — Otimizando")))))</f>
        <v/>
      </c>
      <c r="J25" t="n">
        <v>4</v>
      </c>
      <c r="K25">
        <f>IF(H25="","",MAX(0,J25-H25))</f>
        <v/>
      </c>
      <c r="L25">
        <f>IF(K25="","",D25*K25)</f>
        <v/>
      </c>
      <c r="M25">
        <f>IF(L25="","",IF(L25&gt;=2.4,"P0 — Crítico",IF(L25&gt;=1.6,"P1 — Alto",IF(L25&gt;=0.9,"P2 — Médio","P3 — Baixo"))))</f>
        <v/>
      </c>
      <c r="N25">
        <f>IF(H25="",0,H25*D25)</f>
        <v/>
      </c>
      <c r="O25">
        <f>IF(H25="",0,D25)</f>
        <v/>
      </c>
    </row>
    <row r="26">
      <c r="A26" t="inlineStr">
        <is>
          <t>P3-C6</t>
        </is>
      </c>
      <c r="B26" t="inlineStr">
        <is>
          <t>Gestão de Identidades e Acessos</t>
        </is>
      </c>
      <c r="C26" t="inlineStr">
        <is>
          <t>P3</t>
        </is>
      </c>
      <c r="D26" t="n">
        <v>1.1</v>
      </c>
      <c r="E26">
        <f>COUNTIFS('Respostas'!$C$2:$C$159,A26,'Respostas'!$G$2:$G$159,1)</f>
        <v/>
      </c>
      <c r="F26">
        <f>SUMIFS('Respostas'!$H$2:$H$159,'Respostas'!$C$2:$C$159,A26)</f>
        <v/>
      </c>
      <c r="G26">
        <f>SUMIFS('Respostas'!$F$2:$F$159,'Respostas'!$C$2:$C$159,A26,'Respostas'!$G$2:$G$159,1)</f>
        <v/>
      </c>
      <c r="H26">
        <f>IF(G26=0,"",F26/G26)</f>
        <v/>
      </c>
      <c r="I26">
        <f>IF(H26="","—",IF(H26&lt;0.5,"L0 — Inicial",IF(H26&lt;1.5,"L1 — Em Desenvolvimento",IF(H26&lt;2.5,"L2 — Definido",IF(H26&lt;3.5,"L3 — Gerenciado","L4 — Otimizando")))))</f>
        <v/>
      </c>
      <c r="J26" t="n">
        <v>3</v>
      </c>
      <c r="K26">
        <f>IF(H26="","",MAX(0,J26-H26))</f>
        <v/>
      </c>
      <c r="L26">
        <f>IF(K26="","",D26*K26)</f>
        <v/>
      </c>
      <c r="M26">
        <f>IF(L26="","",IF(L26&gt;=2.4,"P0 — Crítico",IF(L26&gt;=1.6,"P1 — Alto",IF(L26&gt;=0.9,"P2 — Médio","P3 — Baixo"))))</f>
        <v/>
      </c>
      <c r="N26">
        <f>IF(H26="",0,H26*D26)</f>
        <v/>
      </c>
      <c r="O26">
        <f>IF(H26="",0,D26)</f>
        <v/>
      </c>
    </row>
    <row r="27">
      <c r="A27" t="inlineStr">
        <is>
          <t>P3-C7</t>
        </is>
      </c>
      <c r="B27" t="inlineStr">
        <is>
          <t>Multi-Cloud e Portabilidade</t>
        </is>
      </c>
      <c r="C27" t="inlineStr">
        <is>
          <t>P3</t>
        </is>
      </c>
      <c r="D27" t="n">
        <v>0.8</v>
      </c>
      <c r="E27">
        <f>COUNTIFS('Respostas'!$C$2:$C$159,A27,'Respostas'!$G$2:$G$159,1)</f>
        <v/>
      </c>
      <c r="F27">
        <f>SUMIFS('Respostas'!$H$2:$H$159,'Respostas'!$C$2:$C$159,A27)</f>
        <v/>
      </c>
      <c r="G27">
        <f>SUMIFS('Respostas'!$F$2:$F$159,'Respostas'!$C$2:$C$159,A27,'Respostas'!$G$2:$G$159,1)</f>
        <v/>
      </c>
      <c r="H27">
        <f>IF(G27=0,"",F27/G27)</f>
        <v/>
      </c>
      <c r="I27">
        <f>IF(H27="","—",IF(H27&lt;0.5,"L0 — Inicial",IF(H27&lt;1.5,"L1 — Em Desenvolvimento",IF(H27&lt;2.5,"L2 — Definido",IF(H27&lt;3.5,"L3 — Gerenciado","L4 — Otimizando")))))</f>
        <v/>
      </c>
      <c r="J27" t="n">
        <v>3</v>
      </c>
      <c r="K27">
        <f>IF(H27="","",MAX(0,J27-H27))</f>
        <v/>
      </c>
      <c r="L27">
        <f>IF(K27="","",D27*K27)</f>
        <v/>
      </c>
      <c r="M27">
        <f>IF(L27="","",IF(L27&gt;=2.4,"P0 — Crítico",IF(L27&gt;=1.6,"P1 — Alto",IF(L27&gt;=0.9,"P2 — Médio","P3 — Baixo"))))</f>
        <v/>
      </c>
      <c r="N27">
        <f>IF(H27="",0,H27*D27)</f>
        <v/>
      </c>
      <c r="O27">
        <f>IF(H27="",0,D27)</f>
        <v/>
      </c>
    </row>
    <row r="28">
      <c r="A28" t="inlineStr">
        <is>
          <t>P3-C8</t>
        </is>
      </c>
      <c r="B28" t="inlineStr">
        <is>
          <t>Desempenho e Escalabilidade</t>
        </is>
      </c>
      <c r="C28" t="inlineStr">
        <is>
          <t>P3</t>
        </is>
      </c>
      <c r="D28" t="n">
        <v>1</v>
      </c>
      <c r="E28">
        <f>COUNTIFS('Respostas'!$C$2:$C$159,A28,'Respostas'!$G$2:$G$159,1)</f>
        <v/>
      </c>
      <c r="F28">
        <f>SUMIFS('Respostas'!$H$2:$H$159,'Respostas'!$C$2:$C$159,A28)</f>
        <v/>
      </c>
      <c r="G28">
        <f>SUMIFS('Respostas'!$F$2:$F$159,'Respostas'!$C$2:$C$159,A28,'Respostas'!$G$2:$G$159,1)</f>
        <v/>
      </c>
      <c r="H28">
        <f>IF(G28=0,"",F28/G28)</f>
        <v/>
      </c>
      <c r="I28">
        <f>IF(H28="","—",IF(H28&lt;0.5,"L0 — Inicial",IF(H28&lt;1.5,"L1 — Em Desenvolvimento",IF(H28&lt;2.5,"L2 — Definido",IF(H28&lt;3.5,"L3 — Gerenciado","L4 — Otimizando")))))</f>
        <v/>
      </c>
      <c r="J28" t="n">
        <v>3</v>
      </c>
      <c r="K28">
        <f>IF(H28="","",MAX(0,J28-H28))</f>
        <v/>
      </c>
      <c r="L28">
        <f>IF(K28="","",D28*K28)</f>
        <v/>
      </c>
      <c r="M28">
        <f>IF(L28="","",IF(L28&gt;=2.4,"P0 — Crítico",IF(L28&gt;=1.6,"P1 — Alto",IF(L28&gt;=0.9,"P2 — Médio","P3 — Baixo"))))</f>
        <v/>
      </c>
      <c r="N28">
        <f>IF(H28="",0,H28*D28)</f>
        <v/>
      </c>
      <c r="O28">
        <f>IF(H28="",0,D28)</f>
        <v/>
      </c>
    </row>
    <row r="29">
      <c r="A29" t="inlineStr">
        <is>
          <t>P3-C9</t>
        </is>
      </c>
      <c r="B29" t="inlineStr">
        <is>
          <t>FinOps e Otimização de Custos</t>
        </is>
      </c>
      <c r="C29" t="inlineStr">
        <is>
          <t>P3</t>
        </is>
      </c>
      <c r="D29" t="n">
        <v>0.9</v>
      </c>
      <c r="E29">
        <f>COUNTIFS('Respostas'!$C$2:$C$159,A29,'Respostas'!$G$2:$G$159,1)</f>
        <v/>
      </c>
      <c r="F29">
        <f>SUMIFS('Respostas'!$H$2:$H$159,'Respostas'!$C$2:$C$159,A29)</f>
        <v/>
      </c>
      <c r="G29">
        <f>SUMIFS('Respostas'!$F$2:$F$159,'Respostas'!$C$2:$C$159,A29,'Respostas'!$G$2:$G$159,1)</f>
        <v/>
      </c>
      <c r="H29">
        <f>IF(G29=0,"",F29/G29)</f>
        <v/>
      </c>
      <c r="I29">
        <f>IF(H29="","—",IF(H29&lt;0.5,"L0 — Inicial",IF(H29&lt;1.5,"L1 — Em Desenvolvimento",IF(H29&lt;2.5,"L2 — Definido",IF(H29&lt;3.5,"L3 — Gerenciado","L4 — Otimizando")))))</f>
        <v/>
      </c>
      <c r="J29" t="n">
        <v>3</v>
      </c>
      <c r="K29">
        <f>IF(H29="","",MAX(0,J29-H29))</f>
        <v/>
      </c>
      <c r="L29">
        <f>IF(K29="","",D29*K29)</f>
        <v/>
      </c>
      <c r="M29">
        <f>IF(L29="","",IF(L29&gt;=2.4,"P0 — Crítico",IF(L29&gt;=1.6,"P1 — Alto",IF(L29&gt;=0.9,"P2 — Médio","P3 — Baixo"))))</f>
        <v/>
      </c>
      <c r="N29">
        <f>IF(H29="",0,H29*D29)</f>
        <v/>
      </c>
      <c r="O29">
        <f>IF(H29="",0,D29)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Pilar</t>
        </is>
      </c>
      <c r="B1" t="inlineStr">
        <is>
          <t>Nome</t>
        </is>
      </c>
      <c r="C1" t="inlineStr">
        <is>
          <t>Score</t>
        </is>
      </c>
      <c r="D1" t="inlineStr">
        <is>
          <t>Rótulo</t>
        </is>
      </c>
    </row>
    <row r="2">
      <c r="A2" t="inlineStr">
        <is>
          <t>P1</t>
        </is>
      </c>
      <c r="B2" t="inlineStr">
        <is>
          <t>Produtividade do Desenvolvedor</t>
        </is>
      </c>
      <c r="C2">
        <f>IFERROR(SUMIFS('Capabilities'!$N$2:$N$29,'Capabilities'!$C$2:$C$29,A2)/SUMIFS('Capabilities'!$O$2:$O$29,'Capabilities'!$C$2:$C$29,A2),0)</f>
        <v/>
      </c>
      <c r="D2">
        <f>IF(C2="","—",IF(C2&lt;0.5,"L0 — Inicial",IF(C2&lt;1.5,"L1 — Em Desenvolvimento",IF(C2&lt;2.5,"L2 — Definido",IF(C2&lt;3.5,"L3 — Gerenciado","L4 — Otimizando")))))</f>
        <v/>
      </c>
    </row>
    <row r="3">
      <c r="A3" t="inlineStr">
        <is>
          <t>P2</t>
        </is>
      </c>
      <c r="B3" t="inlineStr">
        <is>
          <t>Ciclo de Vida DevOps</t>
        </is>
      </c>
      <c r="C3">
        <f>IFERROR(SUMIFS('Capabilities'!$N$2:$N$29,'Capabilities'!$C$2:$C$29,A3)/SUMIFS('Capabilities'!$O$2:$O$29,'Capabilities'!$C$2:$C$29,A3),0)</f>
        <v/>
      </c>
      <c r="D3">
        <f>IF(C3="","—",IF(C3&lt;0.5,"L0 — Inicial",IF(C3&lt;1.5,"L1 — Em Desenvolvimento",IF(C3&lt;2.5,"L2 — Definido",IF(C3&lt;3.5,"L3 — Gerenciado","L4 — Otimizando")))))</f>
        <v/>
      </c>
    </row>
    <row r="4">
      <c r="A4" t="inlineStr">
        <is>
          <t>P3</t>
        </is>
      </c>
      <c r="B4" t="inlineStr">
        <is>
          <t>Plataforma de Aplicações</t>
        </is>
      </c>
      <c r="C4">
        <f>IFERROR(SUMIFS('Capabilities'!$N$2:$N$29,'Capabilities'!$C$2:$C$29,A4)/SUMIFS('Capabilities'!$O$2:$O$29,'Capabilities'!$C$2:$C$29,A4),0)</f>
        <v/>
      </c>
      <c r="D4">
        <f>IF(C4="","—",IF(C4&lt;0.5,"L0 — Inicial",IF(C4&lt;1.5,"L1 — Em Desenvolvimento",IF(C4&lt;2.5,"L2 — Definido",IF(C4&lt;3.5,"L3 — Gerenciado","L4 — Otimizando")))))</f>
        <v/>
      </c>
    </row>
    <row r="6">
      <c r="A6" t="inlineStr">
        <is>
          <t>OVERALL</t>
        </is>
      </c>
      <c r="C6">
        <f>IFERROR(SUM('Capabilities'!$N$2:$N$29)/SUM('Capabilities'!$O$2:$O$29),"")</f>
        <v/>
      </c>
      <c r="D6">
        <f>IF(C6="","—",IF(C6&lt;0.5,"L0 — Inicial",IF(C6&lt;1.5,"L1 — Em Desenvolvimento",IF(C6&lt;2.5,"L2 — Definido",IF(C6&lt;3.5,"L3 — Gerenciado","L4 — Otimizando")))))</f>
        <v/>
      </c>
    </row>
    <row r="7">
      <c r="A7" t="inlineStr">
        <is>
          <t>Questões respondidas</t>
        </is>
      </c>
      <c r="C7">
        <f>SUM('Respostas'!$G$2:$G$159)</f>
        <v/>
      </c>
    </row>
    <row r="8">
      <c r="A8" t="inlineStr">
        <is>
          <t>Status de cobertura</t>
        </is>
      </c>
      <c r="C8">
        <f>IF(C7&gt;=40,"OK",IF(C7&gt;=25,"WARNING","BLOCKED"))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2026-05-08T14:37:11Z</dcterms:created>
  <dcterms:modified xmlns:dcterms="http://purl.org/dc/terms/" xmlns:xsi="http://www.w3.org/2001/XMLSchema-instance" xsi:type="dcterms:W3CDTF">2026-09-27T14:50:54Z</dcterms:modified>
</cp:coreProperties>
</file>